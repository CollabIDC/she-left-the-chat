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NV Inside Spain" sheetId="2" state="visible" r:id="rId4"/>
    <sheet name="DNV US Consulate" sheetId="3" state="visible" r:id="rId5"/>
    <sheet name="Non-Lucrative Visa" sheetId="4" state="visible" r:id="rId6"/>
    <sheet name="Residency Day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<sst xmlns="http://schemas.openxmlformats.org/spreadsheetml/2006/main" count="586" uniqueCount="287">
  <si>
    <t xml:space="preserve">SHE LEFT THE CHAT</t>
  </si>
  <si>
    <t xml:space="preserve">MADRID MOVE TIMELINE BUILDER</t>
  </si>
  <si>
    <t xml:space="preserve">Tell it your target date. It builds your backwards planning checklist.</t>
  </si>
  <si>
    <t xml:space="preserve">STEP 1: ENTER YOUR DETAILS BELOW</t>
  </si>
  <si>
    <t xml:space="preserve">Yellow cells are yours to fill in. Everything else calculates automatically.</t>
  </si>
  <si>
    <t xml:space="preserve">Target Move Date</t>
  </si>
  <si>
    <t xml:space="preserve">The date you want to be living in Madrid.</t>
  </si>
  <si>
    <t xml:space="preserve">Visa Path</t>
  </si>
  <si>
    <t xml:space="preserve">Choose from dropdown →</t>
  </si>
  <si>
    <t xml:space="preserve">Applying From</t>
  </si>
  <si>
    <t xml:space="preserve">Inside Spain or US Consulate</t>
  </si>
  <si>
    <t xml:space="preserve">Your Name (optional)</t>
  </si>
  <si>
    <t xml:space="preserve">Personalizes the checklist tabs.</t>
  </si>
  <si>
    <t xml:space="preserve">STEP 2: GO TO YOUR VISA TAB</t>
  </si>
  <si>
    <t xml:space="preserve">Digital Nomad Visa (Inside Spain)</t>
  </si>
  <si>
    <t xml:space="preserve">Go to tab →  DNV Inside Spain</t>
  </si>
  <si>
    <t xml:space="preserve">Each tab pulls your move date automatically.</t>
  </si>
  <si>
    <t xml:space="preserve">Digital Nomad Visa (US Consulate)</t>
  </si>
  <si>
    <t xml:space="preserve">Go to tab →  DNV US Consulate</t>
  </si>
  <si>
    <t xml:space="preserve">Non-Lucrative Visa (US Consulate)</t>
  </si>
  <si>
    <t xml:space="preserve">Go to tab →  Non-Lucrative Visa</t>
  </si>
  <si>
    <t xml:space="preserve">HOW THIS WORKBOOK WORKS</t>
  </si>
  <si>
    <t xml:space="preserve">• Enter your target move date in D8 once.</t>
  </si>
  <si>
    <t xml:space="preserve">Every deadline in every tab calculates from that single date.</t>
  </si>
  <si>
    <t xml:space="preserve">• Dates recalculate automatically.</t>
  </si>
  <si>
    <t xml:space="preserve">Change D8 and every milestone date updates instantly.</t>
  </si>
  <si>
    <t xml:space="preserve">• Override any date manually.</t>
  </si>
  <si>
    <t xml:space="preserve">Type directly into any deadline cell to fix a specific date.</t>
  </si>
  <si>
    <t xml:space="preserve">• Use the Status column.</t>
  </si>
  <si>
    <t xml:space="preserve">Mark tasks Done, In Progress, or Not Started as you work through them.</t>
  </si>
  <si>
    <t xml:space="preserve">• Add your own rows.</t>
  </si>
  <si>
    <t xml:space="preserve">Every tab has blank rows at the bottom for custom milestones.</t>
  </si>
  <si>
    <t xml:space="preserve">• Print any tab.</t>
  </si>
  <si>
    <t xml:space="preserve">Each checklist tab is print-ready on one or two pages.</t>
  </si>
  <si>
    <t xml:space="preserve">STATUS COLOR GUIDE (used across all tabs)</t>
  </si>
  <si>
    <t xml:space="preserve">Done</t>
  </si>
  <si>
    <t xml:space="preserve">Task completed</t>
  </si>
  <si>
    <t xml:space="preserve">In Progress</t>
  </si>
  <si>
    <t xml:space="preserve">Currently working on this</t>
  </si>
  <si>
    <t xml:space="preserve">Urgent / Overdue</t>
  </si>
  <si>
    <t xml:space="preserve">Deadline passed or critical</t>
  </si>
  <si>
    <t xml:space="preserve">Your Input Cells</t>
  </si>
  <si>
    <t xml:space="preserve">Yellow = fill these in</t>
  </si>
  <si>
    <t xml:space="preserve">Section Headers</t>
  </si>
  <si>
    <t xml:space="preserve">Phase and category dividers</t>
  </si>
  <si>
    <t xml:space="preserve">shelefthechat.com  •  Visa requirements and timelines change. Verify all deadlines with your immigration lawyer before acting on them.</t>
  </si>
  <si>
    <t xml:space="preserve">SHE LEFT THE CHAT  •  MADRID MOVE TIMELINE</t>
  </si>
  <si>
    <t xml:space="preserve">Digital Nomad Visa — Applying From Inside Spain</t>
  </si>
  <si>
    <t xml:space="preserve">Fastest route. 30-day response window. 3-year residency permit.</t>
  </si>
  <si>
    <t xml:space="preserve">TARGET MOVE DATE</t>
  </si>
  <si>
    <t xml:space="preserve">Change the date in START HERE tab → all deadlines update automatically</t>
  </si>
  <si>
    <t xml:space="preserve">✓</t>
  </si>
  <si>
    <t xml:space="preserve">TASK</t>
  </si>
  <si>
    <t xml:space="preserve">NOTES / DETAIL</t>
  </si>
  <si>
    <t xml:space="preserve">CALCULATED DEADLINE</t>
  </si>
  <si>
    <t xml:space="preserve">YOUR DATE OVERRIDE</t>
  </si>
  <si>
    <t xml:space="preserve">STATUS</t>
  </si>
  <si>
    <t xml:space="preserve">PHASE 1  •  Get Clear Before You Commit  •  12+ Months Before Move</t>
  </si>
  <si>
    <t xml:space="preserve">□</t>
  </si>
  <si>
    <t xml:space="preserve">Book and complete a reconnaissance trip to Madrid</t>
  </si>
  <si>
    <t xml:space="preserve">Minimum 10 to 14 days. Rent an apartment, not a hotel. Visit in Oct, Nov, Mar, or Apr if possible.</t>
  </si>
  <si>
    <t xml:space="preserve">Not Started</t>
  </si>
  <si>
    <t xml:space="preserve">Confirm you qualify for the Digital Nomad Visa</t>
  </si>
  <si>
    <t xml:space="preserve">Requires min €2,849/month income (2026), employer operating 1+ years, max 20% income from Spanish clients.</t>
  </si>
  <si>
    <t xml:space="preserve">Consult a Spanish immigration lawyer based in Spain</t>
  </si>
  <si>
    <t xml:space="preserve">Book a 1-hour consultation. Verify your specific income type and employment situation qualifies before doing any paperwork.</t>
  </si>
  <si>
    <t xml:space="preserve">Decide on Madrid neighborhoods to target</t>
  </si>
  <si>
    <t xml:space="preserve">Use the Neighborhood Matcher at shelefthechat.com/resources. Shortlist 2 to 3 for apartment hunting on arrival.</t>
  </si>
  <si>
    <t xml:space="preserve">PHASE 2  •  Research and Financial Setup  •  9 to 12 Months Before Move</t>
  </si>
  <si>
    <t xml:space="preserve">Find and hire your Spanish immigration lawyer</t>
  </si>
  <si>
    <t xml:space="preserve">Ask for referrals in Madrid expat Facebook groups. Verify they have recent DNV experience. Budget €500 to €1,500.</t>
  </si>
  <si>
    <t xml:space="preserve">Open a Wise account and test an international transfer</t>
  </si>
  <si>
    <t xml:space="preserve">Do this before you need it. A small test transfer confirms the system works and you understand the process.</t>
  </si>
  <si>
    <t xml:space="preserve">Research real Madrid cost of living numbers</t>
  </si>
  <si>
    <t xml:space="preserve">Use the Cost of Living Calculator at shelefthechat.com/resources. Run your actual expenses against Madrid figures.</t>
  </si>
  <si>
    <t xml:space="preserve">Find a US expat tax specialist</t>
  </si>
  <si>
    <t xml:space="preserve">You still file US taxes living in Spain. Spain taxes you as a resident after 183 days. Find a specialist before year one ends.</t>
  </si>
  <si>
    <t xml:space="preserve">Build your 3-month relocation fund</t>
  </si>
  <si>
    <t xml:space="preserve">Separate from ongoing income. Budget additionally €5,000 to €8,000 for one-time arrival costs.</t>
  </si>
  <si>
    <t xml:space="preserve">Join 2 to 3 Madrid expat communities online</t>
  </si>
  <si>
    <t xml:space="preserve">Americans in Madrid, Madrid Expats, Women in Madrid on Facebook. These groups are where the real information lives.</t>
  </si>
  <si>
    <t xml:space="preserve">PHASE 3  •  Document Preparation  •  6 to 9 Months Before Move</t>
  </si>
  <si>
    <t xml:space="preserve">Check passport validity</t>
  </si>
  <si>
    <t xml:space="preserve">Must be valid for at least 1 year beyond your intended stay. Renew now if under 18 months remaining.</t>
  </si>
  <si>
    <t xml:space="preserve">Order FBI background check</t>
  </si>
  <si>
    <t xml:space="preserve">Federal level only. Allow 3 to 6 weeks processing time. Must be apostilled after receipt.</t>
  </si>
  <si>
    <t xml:space="preserve">Gather 3 to 6 months of bank statements</t>
  </si>
  <si>
    <t xml:space="preserve">Must show consistent deposits matching your declared income. UGE scrutinizes income consistency as of 2026.</t>
  </si>
  <si>
    <t xml:space="preserve">Obtain employment contract or client contracts</t>
  </si>
  <si>
    <t xml:space="preserve">Employer must have operated 1+ years. Contract must authorize remote work from Spain explicitly.</t>
  </si>
  <si>
    <t xml:space="preserve">Purchase Spain-approved private health insurance</t>
  </si>
  <si>
    <t xml:space="preserve">No copays, no deductibles, full Spain coverage, repatriation included. Sanitas, Adeslas, and Asisa are accepted.</t>
  </si>
  <si>
    <t xml:space="preserve">Apostille FBI background check</t>
  </si>
  <si>
    <t xml:space="preserve">US Department of State handles federal documents. Allow 4 to 8 weeks. Document must be under 6 months old at filing.</t>
  </si>
  <si>
    <t xml:space="preserve">Get certified Spanish translations of apostilled documents</t>
  </si>
  <si>
    <t xml:space="preserve">Must be done by a sworn translator. Your lawyer can recommend one. Do not use general translation services.</t>
  </si>
  <si>
    <t xml:space="preserve">Obtain EU-format passport photos</t>
  </si>
  <si>
    <t xml:space="preserve">35mm x 45mm format. Not US standard size. Get new ones specifically for this application.</t>
  </si>
  <si>
    <t xml:space="preserve">PHASE 4  •  Enter Spain and Apply In-Country  •  3 to 6 Months Before Your Intended Residency Start</t>
  </si>
  <si>
    <t xml:space="preserve">Book flights and short-term furnished accommodation</t>
  </si>
  <si>
    <t xml:space="preserve">Book a furnished apartment for 4 to 8 weeks minimum. This is your base while applying and apartment hunting.</t>
  </si>
  <si>
    <t xml:space="preserve">Enter Spain on US passport before 90-day tourist limit expires</t>
  </si>
  <si>
    <t xml:space="preserve">Critical: you must apply before your legal entry period expires. US citizens get 90 days visa-free in Schengen.</t>
  </si>
  <si>
    <t xml:space="preserve">Submit DNV residency application to UGE through your lawyer</t>
  </si>
  <si>
    <t xml:space="preserve">UGE = Unidad de Grandes Empresas. Your lawyer submits on your behalf. Pay application fee €73.26 (2026).</t>
  </si>
  <si>
    <t xml:space="preserve">UGE 30-day response window begins</t>
  </si>
  <si>
    <t xml:space="preserve">UGE must respond within 30 days. If they do not, silencio administrativo positivo applies: approval is implied by law.</t>
  </si>
  <si>
    <t xml:space="preserve">Follow up with lawyer if no response after 30 days</t>
  </si>
  <si>
    <t xml:space="preserve">Implied approval does not produce a card automatically. Your lawyer follows up to get physical TIE documentation started.</t>
  </si>
  <si>
    <t xml:space="preserve">Register at ayuntamiento for empadronamiento</t>
  </si>
  <si>
    <t xml:space="preserve">Bring rental contract and passport. This certificate is required for TIE and many other official processes.</t>
  </si>
  <si>
    <t xml:space="preserve">PHASE 5  •  Financial and Logistics Setup  •  2 to 3 Months Before Move Date</t>
  </si>
  <si>
    <t xml:space="preserve">Open Spanish bank account</t>
  </si>
  <si>
    <t xml:space="preserve">Santander, BBVA, or CaixaBank. Bring passport, NIE, and empadronamiento certificate. Ask for cuenta de no residente if needed.</t>
  </si>
  <si>
    <t xml:space="preserve">Set up Bizum on Spanish account</t>
  </si>
  <si>
    <t xml:space="preserve">Linked to your phone number. Essential for splitting bills and paying small vendors. Wise and Revolut do not support Bizum.</t>
  </si>
  <si>
    <t xml:space="preserve">Source and confirm long-term apartment</t>
  </si>
  <si>
    <t xml:space="preserve">Search on Idealista and Fotocasa. Budget 1 to 2 months deposit. Confirm landlord will sign empadronamiento certificate.</t>
  </si>
  <si>
    <t xml:space="preserve">Set up mail forwarding from US address</t>
  </si>
  <si>
    <t xml:space="preserve">US Global Mail or Traveling Mailbox. You still need a US address for banking, tax, and family correspondence.</t>
  </si>
  <si>
    <t xml:space="preserve">Notify US bank and credit cards of international use</t>
  </si>
  <si>
    <t xml:space="preserve">Prevents fraud holds at the worst possible moment. Do this before you leave, not after a card is declined.</t>
  </si>
  <si>
    <t xml:space="preserve">Arrange 3 to 6 months of prescription medications</t>
  </si>
  <si>
    <t xml:space="preserve">With doctor's letter describing each medication's generic name. Confirm each is legal to bring into Spain.</t>
  </si>
  <si>
    <t xml:space="preserve">Decide what to bring, ship, or sell</t>
  </si>
  <si>
    <t xml:space="preserve">Spain uses 220V/50Hz. US appliances need converters. Price international shipping honestly before deciding what to move.</t>
  </si>
  <si>
    <t xml:space="preserve">PHASE 6  •  First 90 Days in Madrid  •  After You Land</t>
  </si>
  <si>
    <t xml:space="preserve">Buy a local SIM card on arrival day</t>
  </si>
  <si>
    <t xml:space="preserve">Movistar, Vodafone, or Orange. A Spanish mobile number is required for almost every official form and online account.</t>
  </si>
  <si>
    <t xml:space="preserve">Book TIE appointment (Tarjeta de Identidad de Extranjero)</t>
  </si>
  <si>
    <t xml:space="preserve">Book immediately on arrival. Appointments can be 4 to 8 weeks out. This is your physical residency card.</t>
  </si>
  <si>
    <t xml:space="preserve">Register at ayuntamiento if not done before move</t>
  </si>
  <si>
    <t xml:space="preserve">Bring rental contract and passport. Empadronamiento certificate unlocks healthcare registration and TIE renewal.</t>
  </si>
  <si>
    <t xml:space="preserve">Open Spanish bank account if not done pre-move</t>
  </si>
  <si>
    <t xml:space="preserve">Bring passport, NIE, and empadronamiento. Set up Bizum in the same visit.</t>
  </si>
  <si>
    <t xml:space="preserve">Buy monthly metro Abono Transporte (Zone A)</t>
  </si>
  <si>
    <t xml:space="preserve">€54.60/month covers all metro and bus within central Madrid. Eliminates any need to own a car.</t>
  </si>
  <si>
    <t xml:space="preserve">Register with a local doctor or identify private clinic</t>
  </si>
  <si>
    <t xml:space="preserve">DNV holders may access public health after registration. In the meantime use your private insurance provider.</t>
  </si>
  <si>
    <t xml:space="preserve">Attend TIE appointment and collect residency card</t>
  </si>
  <si>
    <t xml:space="preserve">Bring all original documents plus copies. Your lawyer should advise exactly what is required.</t>
  </si>
  <si>
    <t xml:space="preserve">File FBAR if foreign accounts exceeded $10,000</t>
  </si>
  <si>
    <t xml:space="preserve">Required if any foreign account (including Wise, Revolut) hit $10,000 at any point during the calendar year.</t>
  </si>
  <si>
    <t xml:space="preserve">File US federal taxes for year of move</t>
  </si>
  <si>
    <t xml:space="preserve">Claim Foreign Earned Income Exclusion and/or Foreign Tax Credit. Use a US expat tax specialist. Deadline April 15.</t>
  </si>
  <si>
    <t xml:space="preserve">Review DNV renewal requirements (3-year permit expires)</t>
  </si>
  <si>
    <t xml:space="preserve">DNV from inside Spain gives 3-year residency. Begin renewal research 6 months before expiry. Note: permanent residency requires 183+ days per year in Spain.</t>
  </si>
  <si>
    <t xml:space="preserve">ADD YOUR OWN MILESTONES BELOW</t>
  </si>
  <si>
    <t xml:space="preserve">shelefthechat.com  •  Deadlines are estimates. Verify with your immigration lawyer. Dates calculated from target move date in START HERE tab.</t>
  </si>
  <si>
    <t xml:space="preserve">Digital Nomad Visa — US Consulate Route</t>
  </si>
  <si>
    <t xml:space="preserve">Apply before leaving the US. Passport held during processing. Allow 4 to 8 months total.</t>
  </si>
  <si>
    <t xml:space="preserve">Consult an immigration lawyer or gestor</t>
  </si>
  <si>
    <t xml:space="preserve">Verify your specific situation qualifies. Budget €500 to €1,500 for application assistance.</t>
  </si>
  <si>
    <t xml:space="preserve">Check appointment availability at your Spanish Consulate</t>
  </si>
  <si>
    <t xml:space="preserve">Critical first step. Some consulates have 2-week waits, others 3 months. Your appointment date anchors everything.</t>
  </si>
  <si>
    <t xml:space="preserve">Do this before you need it urgently.</t>
  </si>
  <si>
    <t xml:space="preserve">Separate from ongoing income. Budget €5,000 to €8,000 for arrival costs.</t>
  </si>
  <si>
    <t xml:space="preserve">Spain taxes you as resident after 183 days. You still file US taxes regardless of where you live.</t>
  </si>
  <si>
    <t xml:space="preserve">Use the Cost of Living Calculator at shelefthechat.com/resources.</t>
  </si>
  <si>
    <t xml:space="preserve">Must be valid 1+ year beyond stay. Renew immediately if under 18 months remaining.</t>
  </si>
  <si>
    <t xml:space="preserve">Federal level only. Allow 3 to 6 weeks. Must be apostilled. Under 6 months old at time of filing.</t>
  </si>
  <si>
    <t xml:space="preserve">Must show consistent income deposits matching your declared amount.</t>
  </si>
  <si>
    <t xml:space="preserve">Obtain employment contract proving remote authorization</t>
  </si>
  <si>
    <t xml:space="preserve">Employer must have operated 1+ years. Contract must explicitly authorize working from Spain.</t>
  </si>
  <si>
    <t xml:space="preserve">No copays, full Spain coverage. Sanitas, Adeslas, and Asisa are accepted providers.</t>
  </si>
  <si>
    <t xml:space="preserve">Apostille FBI background check via US Dept of State</t>
  </si>
  <si>
    <t xml:space="preserve">Allow 4 to 8 weeks. Expedited processing available. Document cannot be older than 6 months at consulate appointment.</t>
  </si>
  <si>
    <t xml:space="preserve">Get certified Spanish translations of all apostilled documents</t>
  </si>
  <si>
    <t xml:space="preserve">Must be a sworn translator. Your gestor or lawyer can recommend one.</t>
  </si>
  <si>
    <t xml:space="preserve">35mm x 45mm. Not US standard size.</t>
  </si>
  <si>
    <t xml:space="preserve">PHASE 4  •  Consulate Application  •  4 to 6 Months Before Move</t>
  </si>
  <si>
    <t xml:space="preserve">Book consulate visa appointment</t>
  </si>
  <si>
    <t xml:space="preserve">At the Spanish Consulate for your US state of residence. Book as early as available. This date drives your full timeline.</t>
  </si>
  <si>
    <t xml:space="preserve">Complete visa application form with lawyer or gestor</t>
  </si>
  <si>
    <t xml:space="preserve">Tasa 790-038 government fee: €73.26 (2026). Your gestor assembles the full application package.</t>
  </si>
  <si>
    <t xml:space="preserve">Attend consulate appointment and submit application</t>
  </si>
  <si>
    <t xml:space="preserve">Bring originals and copies of everything. Passport surrendered at appointment and held during processing.</t>
  </si>
  <si>
    <t xml:space="preserve">Consulate processing period (up to 8 months total)</t>
  </si>
  <si>
    <t xml:space="preserve">Processing times vary widely by consulate. Plan for 2 to 6 months. You cannot travel internationally without your passport during this time.</t>
  </si>
  <si>
    <t xml:space="preserve">Collect visa from consulate once approved</t>
  </si>
  <si>
    <t xml:space="preserve">You receive a 1-year visa sticker in your passport. This gets converted to a 3-year TIE after arrival.</t>
  </si>
  <si>
    <t xml:space="preserve">PHASE 5  •  Pre-Departure Logistics  •  1 to 3 Months Before Move</t>
  </si>
  <si>
    <t xml:space="preserve">Book short-term furnished accommodation for first 4 to 8 weeks</t>
  </si>
  <si>
    <t xml:space="preserve">Do not sign a long-term lease before spending time in the neighborhood. Short-term first.</t>
  </si>
  <si>
    <t xml:space="preserve">US Global Mail or Traveling Mailbox.</t>
  </si>
  <si>
    <t xml:space="preserve">Prevents fraud holds. Do before departure.</t>
  </si>
  <si>
    <t xml:space="preserve">With doctor's letter. Confirm each medication is legal to bring into Spain.</t>
  </si>
  <si>
    <t xml:space="preserve">Pack all documents in carry-on bag</t>
  </si>
  <si>
    <t xml:space="preserve">Never in checked luggage. Originals and copies of everything.</t>
  </si>
  <si>
    <t xml:space="preserve">Buy local SIM card on arrival day</t>
  </si>
  <si>
    <t xml:space="preserve">Movistar, Vodafone, or Orange. Spanish number required for almost every official process.</t>
  </si>
  <si>
    <t xml:space="preserve">Within first 2 weeks. Bring rental contract and passport.</t>
  </si>
  <si>
    <t xml:space="preserve">Book TIE appointment to convert visa to residency card</t>
  </si>
  <si>
    <t xml:space="preserve">Your 1-year consulate visa must be converted to a TIE within 30 days of arrival. Book immediately.</t>
  </si>
  <si>
    <t xml:space="preserve">Santander, BBVA, or CaixaBank. Bring passport, NIE number, empadronamiento.</t>
  </si>
  <si>
    <t xml:space="preserve">Buy monthly metro Abono Transporte Zone A</t>
  </si>
  <si>
    <t xml:space="preserve">€54.60/month. Unlimited metro and bus in central Madrid.</t>
  </si>
  <si>
    <t xml:space="preserve">Attend TIE appointment</t>
  </si>
  <si>
    <t xml:space="preserve">Bring all original documents plus copies.</t>
  </si>
  <si>
    <t xml:space="preserve">Includes Wise, Revolut, Spanish accounts. File separately from tax return.</t>
  </si>
  <si>
    <t xml:space="preserve">Use US expat tax specialist. Claim Foreign Earned Income Exclusion. Deadline April 15.</t>
  </si>
  <si>
    <t xml:space="preserve">Non-Lucrative Visa — US Consulate Route</t>
  </si>
  <si>
    <t xml:space="preserve">For passive income, pensions, and savings. No remote work permitted on this visa.</t>
  </si>
  <si>
    <t xml:space="preserve">PHASE 1  •  Confirm Eligibility and Make the Decision  •  12+ Months Before Move</t>
  </si>
  <si>
    <t xml:space="preserve">Confirm you qualify for the Non-Lucrative Visa</t>
  </si>
  <si>
    <t xml:space="preserve">Requires approx €28,800/year passive income (2026, verify annually). You CANNOT work remotely on this visa.</t>
  </si>
  <si>
    <t xml:space="preserve">Verify your income type qualifies as passive</t>
  </si>
  <si>
    <t xml:space="preserve">Pension, Social Security, investment income, savings drawdown, rental income. Active remote work disqualifies you.</t>
  </si>
  <si>
    <t xml:space="preserve">Consult an immigration lawyer to confirm NLV is right for you</t>
  </si>
  <si>
    <t xml:space="preserve">This is the most common visa mistake: applying for NLV while intending to do any remote work. Clarify before starting.</t>
  </si>
  <si>
    <t xml:space="preserve">Minimum 10 to 14 days. Rent an apartment, not a hotel. Non-summer months give a more realistic picture.</t>
  </si>
  <si>
    <t xml:space="preserve">Check consulate appointment availability immediately</t>
  </si>
  <si>
    <t xml:space="preserve">NLV processing through US consulates can take 4 to 6 months. Your appointment date is the most important deadline.</t>
  </si>
  <si>
    <t xml:space="preserve">PHASE 2  •  Research and Financial Preparation  •  9 to 12 Months Before Move</t>
  </si>
  <si>
    <t xml:space="preserve">Open a Wise account and test international transfers</t>
  </si>
  <si>
    <t xml:space="preserve">Best exchange rates for regular transfers between US and Spanish accounts.</t>
  </si>
  <si>
    <t xml:space="preserve">Build your relocation fund</t>
  </si>
  <si>
    <t xml:space="preserve">3 months liquid expenses minimum plus €5,000 to €8,000 for one-time arrival costs.</t>
  </si>
  <si>
    <t xml:space="preserve">Spain taxes you as resident after 183 days on worldwide income. FBAR required if foreign accounts exceed $10,000.</t>
  </si>
  <si>
    <t xml:space="preserve">Research real Madrid cost of living</t>
  </si>
  <si>
    <t xml:space="preserve">Use the Cost of Living Calculator at shelefthechat.com/resources. Run your actual income against Madrid figures.</t>
  </si>
  <si>
    <t xml:space="preserve">Understand the NLV income verification requirements</t>
  </si>
  <si>
    <t xml:space="preserve">You need to show the full year's income threshold, not just a recent month. Gather documentation for a full 12-month period.</t>
  </si>
  <si>
    <t xml:space="preserve">Must be valid 1+ year beyond stay. Renew immediately if under 18 months.</t>
  </si>
  <si>
    <t xml:space="preserve">Federal level only. Allow 3 to 6 weeks. Must be apostilled. Under 6 months old at consulate appointment.</t>
  </si>
  <si>
    <t xml:space="preserve">Gather proof of passive income for full year</t>
  </si>
  <si>
    <t xml:space="preserve">Pension statements, Social Security award letter, investment account statements, bank statements. All 12 months.</t>
  </si>
  <si>
    <t xml:space="preserve">No copays, no deductibles, full Spain coverage. Sanitas, Adeslas, Asisa accepted. Required for NLV.</t>
  </si>
  <si>
    <t xml:space="preserve">US Department of State. Allow 4 to 8 weeks. The 6-month validity clock starts at issuance, not apostille.</t>
  </si>
  <si>
    <t xml:space="preserve">Apostille birth certificate if required</t>
  </si>
  <si>
    <t xml:space="preserve">Some NLV applications require it. Confirm with your consulate. Secretary of State for state-issued documents.</t>
  </si>
  <si>
    <t xml:space="preserve">Must be sworn translator. Not Google Translate. Not a bilingual friend.</t>
  </si>
  <si>
    <t xml:space="preserve">35mm x 45mm. Different from US standard. Get new ones specifically.</t>
  </si>
  <si>
    <t xml:space="preserve">Complete NLV application form with gestor</t>
  </si>
  <si>
    <t xml:space="preserve">Tasa 790-052 government fee applies. Your gestor or lawyer assembles the full package.</t>
  </si>
  <si>
    <t xml:space="preserve">At the Spanish Consulate for your US state of residence. Book the earliest available slot.</t>
  </si>
  <si>
    <t xml:space="preserve">Attend consulate appointment and submit NLV application</t>
  </si>
  <si>
    <t xml:space="preserve">Bring originals and 2 copies of everything. Passport surrendered and held during processing.</t>
  </si>
  <si>
    <t xml:space="preserve">Processing period (4 to 6 weeks typical)</t>
  </si>
  <si>
    <t xml:space="preserve">NLV processing is typically faster than DNV. Cannot travel internationally while passport is held.</t>
  </si>
  <si>
    <t xml:space="preserve">Collect NLV visa from consulate</t>
  </si>
  <si>
    <t xml:space="preserve">You receive a 1-year visa. This is renewed annually in Spain and converts to long-term residency after 5 years.</t>
  </si>
  <si>
    <t xml:space="preserve">Do not sign long-term lease before visiting neighborhoods. Short-term first.</t>
  </si>
  <si>
    <t xml:space="preserve">Set up mail forwarding</t>
  </si>
  <si>
    <t xml:space="preserve">US Global Mail or Traveling Mailbox. You need a US address for banking and tax correspondence.</t>
  </si>
  <si>
    <t xml:space="preserve">Prevents fraud holds.</t>
  </si>
  <si>
    <t xml:space="preserve">With doctor's letter listing generic names. Confirm legal to bring into Spain.</t>
  </si>
  <si>
    <t xml:space="preserve">Spain runs 220V/50Hz. US appliances need converters or replacement. Price shipping honestly.</t>
  </si>
  <si>
    <t xml:space="preserve">Originals and copies. Never in checked luggage.</t>
  </si>
  <si>
    <t xml:space="preserve">Spanish number required for almost every official process and online account.</t>
  </si>
  <si>
    <t xml:space="preserve">Book TIE appointment</t>
  </si>
  <si>
    <t xml:space="preserve">Must be done within 30 days of arrival to convert visa to residency card. Book immediately.</t>
  </si>
  <si>
    <t xml:space="preserve">Santander, BBVA, or CaixaBank. Bring passport, NIE, empadronamiento.</t>
  </si>
  <si>
    <t xml:space="preserve">Register with local doctor through public health system</t>
  </si>
  <si>
    <t xml:space="preserve">NLV holders may access public health after empadronamiento registration. Register early.</t>
  </si>
  <si>
    <t xml:space="preserve">Bring all original documents. Your gestor should advise exactly what is required.</t>
  </si>
  <si>
    <t xml:space="preserve">Begin NLV renewal process (1-year visa renews annually)</t>
  </si>
  <si>
    <t xml:space="preserve">NLV renews 1 year at a time. Begin renewal paperwork 60 days before expiry. After 5 years, apply for long-term residency.</t>
  </si>
  <si>
    <t xml:space="preserve">Critical: track days spent outside Spain</t>
  </si>
  <si>
    <t xml:space="preserve">Long-term residency after 5 years requires 183+ days per year IN Spain. Extended US visits count against this. Track from day one.</t>
  </si>
  <si>
    <t xml:space="preserve">File separately from tax return. Includes Wise, Revolut, Spanish accounts.</t>
  </si>
  <si>
    <t xml:space="preserve">Use expat tax specialist. Deadline April 15.</t>
  </si>
  <si>
    <t xml:space="preserve">SHE LEFT THE CHAT  •  RESIDENCY DAY TRACKER</t>
  </si>
  <si>
    <t xml:space="preserve">Track Your Days in Spain Toward Permanent Residency</t>
  </si>
  <si>
    <t xml:space="preserve">Long-term residency after 5 years requires 183+ days per year IN Spain. Extended absences reset your clock. Track from day one.</t>
  </si>
  <si>
    <t xml:space="preserve">THE RULE YOU NEED TO KNOW</t>
  </si>
  <si>
    <t xml:space="preserve">183+ days per year in Spain</t>
  </si>
  <si>
    <t xml:space="preserve">Required for each of the 5 years leading to permanent residency.</t>
  </si>
  <si>
    <t xml:space="preserve">No single absence over 6 consecutive months</t>
  </si>
  <si>
    <t xml:space="preserve">A trip home that runs long can jeopardize your residency path.</t>
  </si>
  <si>
    <t xml:space="preserve">Total absences tracked cumulatively</t>
  </si>
  <si>
    <t xml:space="preserve">It is not just about single trips. The annual total matters.</t>
  </si>
  <si>
    <t xml:space="preserve">Clock can restart if requirements are not met</t>
  </si>
  <si>
    <t xml:space="preserve">Missing a year means potentially starting your 5-year count again.</t>
  </si>
  <si>
    <t xml:space="preserve">ANNUAL DAYS IN SPAIN TRACKER</t>
  </si>
  <si>
    <t xml:space="preserve">YEAR</t>
  </si>
  <si>
    <t xml:space="preserve">Days IN Spain</t>
  </si>
  <si>
    <t xml:space="preserve">Days Outside Spain</t>
  </si>
  <si>
    <t xml:space="preserve">Meets 183-Day Rule?</t>
  </si>
  <si>
    <t xml:space="preserve">Notes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</si>
  <si>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</si>
  <si>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</si>
  <si>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</si>
  <si>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</si>
  <si>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</si>
  <si>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</si>
  <si>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shelefthechat.com  •  This tracker is a personal planning tool. Residency rules change. Verify requirements with your immigration lawyer.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</si>
</sst>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\ mmm\ yyyy"/>
    <numFmt numFmtId="167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8BC8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C8BC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C1C1C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1C1C1C"/>
      <name val="Arial"/>
      <family val="0"/>
      <charset val="1"/>
    </font>
    <font>
      <b val="true"/>
      <sz val="10"/>
      <color rgb="FF8B7D3A"/>
      <name val="Arial"/>
      <family val="0"/>
      <charset val="1"/>
    </font>
    <font>
      <b val="true"/>
      <sz val="9"/>
      <color rgb="FF1C1C1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55724"/>
      <name val="Arial"/>
      <family val="0"/>
      <charset val="1"/>
    </font>
    <font>
      <sz val="9"/>
      <color rgb="FF1C1C1C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721C24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8B7D3A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C8BC8A"/>
      <name val="Arial"/>
      <family val="0"/>
      <charset val="1"/>
    </font>
    <font>
      <b val="true"/>
      <sz val="12"/>
      <color rgb="FF8B7D3A"/>
      <name val="Arial"/>
      <family val="0"/>
      <charset val="1"/>
    </font>
    <font>
      <sz val="12"/>
      <color rgb="FFC8BC8A"/>
      <name val="Arial"/>
      <family val="0"/>
      <charset val="1"/>
    </font>
    <font>
      <i val="true"/>
      <sz val="9"/>
      <color rgb="FF1C1C1C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1C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2515"/>
        <bgColor rgb="FF1C1C1C"/>
      </patternFill>
    </fill>
    <fill>
      <patternFill patternType="solid">
        <fgColor rgb="FF8B7D3A"/>
        <bgColor rgb="FF808080"/>
      </patternFill>
    </fill>
    <fill>
      <patternFill patternType="solid">
        <fgColor rgb="FFF5F0E4"/>
        <bgColor rgb="FFF0EDE8"/>
      </patternFill>
    </fill>
    <fill>
      <patternFill patternType="solid">
        <fgColor rgb="FFFFFACD"/>
        <bgColor rgb="FFFFF3CD"/>
      </patternFill>
    </fill>
    <fill>
      <patternFill patternType="solid">
        <fgColor rgb="FF1C1C1C"/>
        <bgColor rgb="FF2C2515"/>
      </patternFill>
    </fill>
    <fill>
      <patternFill patternType="solid">
        <fgColor rgb="FFF0EDE8"/>
        <bgColor rgb="FFF5F0E4"/>
      </patternFill>
    </fill>
    <fill>
      <patternFill patternType="solid">
        <fgColor rgb="FFD4EDDA"/>
        <bgColor rgb="FFF0EDE8"/>
      </patternFill>
    </fill>
    <fill>
      <patternFill patternType="solid">
        <fgColor rgb="FFFFFFFF"/>
        <bgColor rgb="FFF5F0E4"/>
      </patternFill>
    </fill>
    <fill>
      <patternFill patternType="solid">
        <fgColor rgb="FFFFF3CD"/>
        <bgColor rgb="FFFFFACD"/>
      </patternFill>
    </fill>
    <fill>
      <patternFill patternType="solid">
        <fgColor rgb="FFF8D7DA"/>
        <bgColor rgb="FFF0EDE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8BC8A"/>
      </left>
      <right style="thin">
        <color rgb="FFC8BC8A"/>
      </right>
      <top style="thin">
        <color rgb="FFC8BC8A"/>
      </top>
      <bottom style="thin">
        <color rgb="FFC8BC8A"/>
      </bottom>
      <diagonal/>
    </border>
    <border diagonalUp="false" diagonalDown="false">
      <left style="medium">
        <color rgb="FF8B7D3A"/>
      </left>
      <right style="medium">
        <color rgb="FF8B7D3A"/>
      </right>
      <top style="medium">
        <color rgb="FF8B7D3A"/>
      </top>
      <bottom style="medium">
        <color rgb="FF8B7D3A"/>
      </bottom>
      <diagonal/>
    </border>
    <border diagonalUp="false" diagonalDown="false">
      <left style="thin">
        <color rgb="FFC8BC8A"/>
      </left>
      <right/>
      <top style="thin">
        <color rgb="FFC8BC8A"/>
      </top>
      <bottom style="thin">
        <color rgb="FFC8BC8A"/>
      </bottom>
      <diagonal/>
    </border>
    <border diagonalUp="false" diagonalDown="false"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 diagonalUp="false" diagonalDown="false">
      <left style="thin">
        <color rgb="FF8B7D3A"/>
      </left>
      <right/>
      <top style="thin">
        <color rgb="FF8B7D3A"/>
      </top>
      <bottom style="thin">
        <color rgb="FF8B7D3A"/>
      </bottom>
      <diagonal/>
    </border>
    <border diagonalUp="false" diagonalDown="false">
      <left style="thin">
        <color rgb="FF8B7D3A"/>
      </left>
      <right style="thin">
        <color rgb="FF8B7D3A"/>
      </right>
      <top style="thin">
        <color rgb="FF8B7D3A"/>
      </top>
      <bottom style="thin">
        <color rgb="FF8B7D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B7D3A"/>
      <rgbColor rgb="FF800080"/>
      <rgbColor rgb="FF008080"/>
      <rgbColor rgb="FFC8BC8A"/>
      <rgbColor rgb="FF808080"/>
      <rgbColor rgb="FF9999FF"/>
      <rgbColor rgb="FF993366"/>
      <rgbColor rgb="FFFFFACD"/>
      <rgbColor rgb="FFF0ED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4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55724"/>
      <rgbColor rgb="FF2C2515"/>
      <rgbColor rgb="FF856404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7D3A"/>
    <pageSetUpPr fitToPage="false"/>
  </sheetPr>
  <dimension ref="B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18" hidden="false" customHeight="true" outlineLevel="0" collapsed="false">
      <c r="B1" s="1" t="s">
        <v>0</v>
      </c>
      <c r="C1" s="1"/>
      <c r="D1" s="1"/>
      <c r="E1" s="1"/>
    </row>
    <row r="2" customFormat="false" ht="31.5" hidden="false" customHeight="true" outlineLevel="0" collapsed="false">
      <c r="B2" s="2" t="s">
        <v>1</v>
      </c>
      <c r="C2" s="2"/>
      <c r="D2" s="2"/>
      <c r="E2" s="2"/>
    </row>
    <row r="3" customFormat="false" ht="19.5" hidden="false" customHeight="true" outlineLevel="0" collapsed="false">
      <c r="B3" s="3" t="s">
        <v>2</v>
      </c>
      <c r="C3" s="3"/>
      <c r="D3" s="3"/>
      <c r="E3" s="3"/>
    </row>
    <row r="4" customFormat="false" ht="9.75" hidden="false" customHeight="true" outlineLevel="0" collapsed="false"/>
    <row r="5" customFormat="false" ht="19.5" hidden="false" customHeight="true" outlineLevel="0" collapsed="false">
      <c r="B5" s="4" t="s">
        <v>3</v>
      </c>
      <c r="C5" s="4"/>
      <c r="D5" s="4"/>
      <c r="E5" s="4"/>
    </row>
    <row r="6" customFormat="false" ht="15.75" hidden="false" customHeight="true" outlineLevel="0" collapsed="false">
      <c r="B6" s="5" t="s">
        <v>4</v>
      </c>
      <c r="C6" s="5"/>
      <c r="D6" s="5"/>
      <c r="E6" s="5"/>
    </row>
    <row r="7" customFormat="false" ht="7.5" hidden="false" customHeight="true" outlineLevel="0" collapsed="false"/>
    <row r="8" customFormat="false" ht="21.75" hidden="false" customHeight="true" outlineLevel="0" collapsed="false">
      <c r="B8" s="6" t="s">
        <v>5</v>
      </c>
      <c r="C8" s="7" t="s">
        <v>6</v>
      </c>
      <c r="D8" s="8"/>
      <c r="E8" s="8"/>
    </row>
    <row r="9" customFormat="false" ht="21.75" hidden="false" customHeight="true" outlineLevel="0" collapsed="false">
      <c r="B9" s="6" t="s">
        <v>7</v>
      </c>
      <c r="C9" s="7" t="s">
        <v>8</v>
      </c>
      <c r="D9" s="9"/>
      <c r="E9" s="9"/>
    </row>
    <row r="10" customFormat="false" ht="21.75" hidden="false" customHeight="true" outlineLevel="0" collapsed="false">
      <c r="B10" s="6" t="s">
        <v>9</v>
      </c>
      <c r="C10" s="7" t="s">
        <v>10</v>
      </c>
      <c r="D10" s="9"/>
      <c r="E10" s="9"/>
    </row>
    <row r="11" customFormat="false" ht="21.75" hidden="false" customHeight="true" outlineLevel="0" collapsed="false">
      <c r="B11" s="6" t="s">
        <v>11</v>
      </c>
      <c r="C11" s="7" t="s">
        <v>12</v>
      </c>
      <c r="D11" s="9"/>
      <c r="E11" s="9"/>
    </row>
    <row r="12" customFormat="false" ht="9.75" hidden="false" customHeight="true" outlineLevel="0" collapsed="false"/>
    <row r="13" customFormat="false" ht="19.5" hidden="false" customHeight="true" outlineLevel="0" collapsed="false">
      <c r="B13" s="4" t="s">
        <v>13</v>
      </c>
      <c r="C13" s="4"/>
      <c r="D13" s="4"/>
      <c r="E13" s="4"/>
    </row>
    <row r="14" customFormat="false" ht="19.5" hidden="false" customHeight="true" outlineLevel="0" collapsed="false">
      <c r="B14" s="10" t="s">
        <v>14</v>
      </c>
      <c r="C14" s="11" t="s">
        <v>15</v>
      </c>
      <c r="D14" s="12" t="s">
        <v>16</v>
      </c>
      <c r="E14" s="12"/>
    </row>
    <row r="15" customFormat="false" ht="19.5" hidden="false" customHeight="true" outlineLevel="0" collapsed="false">
      <c r="B15" s="10" t="s">
        <v>17</v>
      </c>
      <c r="C15" s="11" t="s">
        <v>18</v>
      </c>
      <c r="D15" s="12" t="s">
        <v>16</v>
      </c>
      <c r="E15" s="12"/>
    </row>
    <row r="16" customFormat="false" ht="19.5" hidden="false" customHeight="true" outlineLevel="0" collapsed="false">
      <c r="B16" s="10" t="s">
        <v>19</v>
      </c>
      <c r="C16" s="11" t="s">
        <v>20</v>
      </c>
      <c r="D16" s="12" t="s">
        <v>16</v>
      </c>
      <c r="E16" s="12"/>
    </row>
    <row r="17" customFormat="false" ht="9.75" hidden="false" customHeight="true" outlineLevel="0" collapsed="false"/>
    <row r="18" customFormat="false" ht="19.5" hidden="false" customHeight="true" outlineLevel="0" collapsed="false">
      <c r="B18" s="13" t="s">
        <v>21</v>
      </c>
      <c r="C18" s="13"/>
      <c r="D18" s="13"/>
      <c r="E18" s="13"/>
    </row>
    <row r="19" customFormat="false" ht="19.5" hidden="false" customHeight="true" outlineLevel="0" collapsed="false">
      <c r="B19" s="14" t="s">
        <v>22</v>
      </c>
      <c r="C19" s="15" t="s">
        <v>23</v>
      </c>
      <c r="D19" s="16"/>
      <c r="E19" s="16"/>
    </row>
    <row r="20" customFormat="false" ht="19.5" hidden="false" customHeight="true" outlineLevel="0" collapsed="false">
      <c r="B20" s="14" t="s">
        <v>24</v>
      </c>
      <c r="C20" s="15" t="s">
        <v>25</v>
      </c>
      <c r="D20" s="16"/>
      <c r="E20" s="16"/>
    </row>
    <row r="21" customFormat="false" ht="19.5" hidden="false" customHeight="true" outlineLevel="0" collapsed="false">
      <c r="B21" s="14" t="s">
        <v>26</v>
      </c>
      <c r="C21" s="15" t="s">
        <v>27</v>
      </c>
      <c r="D21" s="16"/>
      <c r="E21" s="16"/>
    </row>
    <row r="22" customFormat="false" ht="19.5" hidden="false" customHeight="true" outlineLevel="0" collapsed="false">
      <c r="B22" s="14" t="s">
        <v>28</v>
      </c>
      <c r="C22" s="15" t="s">
        <v>29</v>
      </c>
      <c r="D22" s="16"/>
      <c r="E22" s="16"/>
    </row>
    <row r="23" customFormat="false" ht="19.5" hidden="false" customHeight="true" outlineLevel="0" collapsed="false">
      <c r="B23" s="14" t="s">
        <v>30</v>
      </c>
      <c r="C23" s="15" t="s">
        <v>31</v>
      </c>
      <c r="D23" s="16"/>
      <c r="E23" s="16"/>
    </row>
    <row r="24" customFormat="false" ht="19.5" hidden="false" customHeight="true" outlineLevel="0" collapsed="false">
      <c r="B24" s="14" t="s">
        <v>32</v>
      </c>
      <c r="C24" s="15" t="s">
        <v>33</v>
      </c>
      <c r="D24" s="16"/>
      <c r="E24" s="16"/>
    </row>
    <row r="25" customFormat="false" ht="9.75" hidden="false" customHeight="true" outlineLevel="0" collapsed="false"/>
    <row r="26" customFormat="false" ht="18" hidden="false" customHeight="true" outlineLevel="0" collapsed="false">
      <c r="B26" s="17" t="s">
        <v>34</v>
      </c>
      <c r="C26" s="17"/>
      <c r="D26" s="17"/>
      <c r="E26" s="17"/>
    </row>
    <row r="27" customFormat="false" ht="18" hidden="false" customHeight="true" outlineLevel="0" collapsed="false">
      <c r="B27" s="18" t="s">
        <v>35</v>
      </c>
      <c r="C27" s="19" t="s">
        <v>36</v>
      </c>
      <c r="D27" s="20"/>
      <c r="E27" s="20"/>
    </row>
    <row r="28" customFormat="false" ht="18" hidden="false" customHeight="true" outlineLevel="0" collapsed="false">
      <c r="B28" s="21" t="s">
        <v>37</v>
      </c>
      <c r="C28" s="19" t="s">
        <v>38</v>
      </c>
      <c r="D28" s="20"/>
      <c r="E28" s="20"/>
    </row>
    <row r="29" customFormat="false" ht="18" hidden="false" customHeight="true" outlineLevel="0" collapsed="false">
      <c r="B29" s="22" t="s">
        <v>39</v>
      </c>
      <c r="C29" s="19" t="s">
        <v>40</v>
      </c>
      <c r="D29" s="20"/>
      <c r="E29" s="20"/>
    </row>
    <row r="30" customFormat="false" ht="18" hidden="false" customHeight="true" outlineLevel="0" collapsed="false">
      <c r="B30" s="23" t="s">
        <v>41</v>
      </c>
      <c r="C30" s="19" t="s">
        <v>42</v>
      </c>
      <c r="D30" s="20"/>
      <c r="E30" s="20"/>
    </row>
    <row r="31" customFormat="false" ht="18" hidden="false" customHeight="true" outlineLevel="0" collapsed="false">
      <c r="B31" s="24" t="s">
        <v>43</v>
      </c>
      <c r="C31" s="19" t="s">
        <v>44</v>
      </c>
      <c r="D31" s="20"/>
      <c r="E31" s="20"/>
    </row>
    <row r="33" customFormat="false" ht="9.75" hidden="false" customHeight="true" outlineLevel="0" collapsed="false"/>
    <row r="34" customFormat="false" ht="15" hidden="false" customHeight="false" outlineLevel="0" collapsed="false">
      <c r="B34" s="25" t="s">
        <v>45</v>
      </c>
      <c r="C34" s="25"/>
      <c r="D34" s="25"/>
      <c r="E34" s="25"/>
    </row>
  </sheetData>
  <mergeCells count="27">
    <mergeCell ref="B1:E1"/>
    <mergeCell ref="B2:E2"/>
    <mergeCell ref="B3:E3"/>
    <mergeCell ref="B5:E5"/>
    <mergeCell ref="B6:E6"/>
    <mergeCell ref="D8:E8"/>
    <mergeCell ref="D9:E9"/>
    <mergeCell ref="D10:E10"/>
    <mergeCell ref="D11:E11"/>
    <mergeCell ref="B13:E13"/>
    <mergeCell ref="D14:E14"/>
    <mergeCell ref="D15:E15"/>
    <mergeCell ref="D16:E16"/>
    <mergeCell ref="B18:E18"/>
    <mergeCell ref="D19:E19"/>
    <mergeCell ref="D20:E20"/>
    <mergeCell ref="D21:E21"/>
    <mergeCell ref="D22:E22"/>
    <mergeCell ref="D23:E23"/>
    <mergeCell ref="D24:E24"/>
    <mergeCell ref="B26:E26"/>
    <mergeCell ref="D27:E27"/>
    <mergeCell ref="D28:E28"/>
    <mergeCell ref="D29:E29"/>
    <mergeCell ref="D30:E30"/>
    <mergeCell ref="D31:E31"/>
    <mergeCell ref="B34:E34"/>
  </mergeCells>
  <dataValidations count="2">
    <dataValidation allowBlank="true" errorStyle="stop" operator="between" showDropDown="false" showErrorMessage="false" showInputMessage="false" sqref="D9" type="list">
      <formula1>"Digital Nomad Visa (Inside Spain),Digital Nomad Visa (US Consulate),Non-Lucrative Visa (US Consulate)"</formula1>
      <formula2>0</formula2>
    </dataValidation>
    <dataValidation allowBlank="true" errorStyle="stop" operator="between" showDropDown="false" showErrorMessage="false" showInputMessage="false" sqref="D10" type="list">
      <formula1>"Inside Spain,US Consulate"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7D3A"/>
    <pageSetUpPr fitToPage="false"/>
  </sheetPr>
  <dimension ref="B1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2"/>
  </cols>
  <sheetData>
    <row r="1" customFormat="false" ht="15.75" hidden="false" customHeight="true" outlineLevel="0" collapsed="false">
      <c r="B1" s="1" t="s">
        <v>46</v>
      </c>
      <c r="C1" s="1"/>
      <c r="D1" s="1"/>
      <c r="E1" s="1"/>
      <c r="F1" s="1"/>
      <c r="G1" s="1"/>
    </row>
    <row r="2" customFormat="false" ht="25.5" hidden="false" customHeight="true" outlineLevel="0" collapsed="false">
      <c r="B2" s="26" t="s">
        <v>47</v>
      </c>
      <c r="C2" s="26"/>
      <c r="D2" s="26"/>
      <c r="E2" s="26"/>
      <c r="F2" s="26"/>
      <c r="G2" s="26"/>
    </row>
    <row r="3" customFormat="false" ht="15.75" hidden="false" customHeight="true" outlineLevel="0" collapsed="false">
      <c r="B3" s="27" t="s">
        <v>48</v>
      </c>
      <c r="C3" s="27"/>
      <c r="D3" s="27"/>
      <c r="E3" s="27"/>
      <c r="F3" s="27"/>
      <c r="G3" s="27"/>
    </row>
    <row r="4" customFormat="false" ht="7.5" hidden="false" customHeight="true" outlineLevel="0" collapsed="false"/>
    <row r="5" customFormat="false" ht="21.75" hidden="false" customHeight="true" outlineLevel="0" collapsed="false">
      <c r="B5" s="28" t="s">
        <v>49</v>
      </c>
      <c r="C5" s="28"/>
      <c r="D5" s="29" t="n">
        <f aca="false">'START HERE'!$D$8</f>
        <v>0</v>
      </c>
      <c r="E5" s="25" t="s">
        <v>50</v>
      </c>
      <c r="F5" s="25"/>
      <c r="G5" s="25"/>
    </row>
    <row r="6" customFormat="false" ht="7.5" hidden="false" customHeight="true" outlineLevel="0" collapsed="false"/>
    <row r="7" customFormat="false" ht="21.75" hidden="false" customHeight="true" outlineLevel="0" collapsed="false">
      <c r="B7" s="30" t="s">
        <v>51</v>
      </c>
      <c r="C7" s="30" t="s">
        <v>52</v>
      </c>
      <c r="D7" s="30" t="s">
        <v>53</v>
      </c>
      <c r="E7" s="30" t="s">
        <v>54</v>
      </c>
      <c r="F7" s="30" t="s">
        <v>55</v>
      </c>
      <c r="G7" s="30" t="s">
        <v>56</v>
      </c>
    </row>
    <row r="8" customFormat="false" ht="19.5" hidden="false" customHeight="true" outlineLevel="0" collapsed="false">
      <c r="B8" s="31" t="s">
        <v>57</v>
      </c>
      <c r="C8" s="31"/>
      <c r="D8" s="31"/>
      <c r="E8" s="31"/>
      <c r="F8" s="31"/>
      <c r="G8" s="31"/>
    </row>
    <row r="9" customFormat="false" ht="36" hidden="false" customHeight="true" outlineLevel="0" collapsed="false">
      <c r="B9" s="32" t="s">
        <v>58</v>
      </c>
      <c r="C9" s="33" t="s">
        <v>59</v>
      </c>
      <c r="D9" s="34" t="s">
        <v>60</v>
      </c>
      <c r="E9" s="35" t="n">
        <f aca="false">'START HERE'!$D$8-365</f>
        <v>-365</v>
      </c>
      <c r="F9" s="36"/>
      <c r="G9" s="37" t="s">
        <v>61</v>
      </c>
    </row>
    <row r="10" customFormat="false" ht="36" hidden="false" customHeight="true" outlineLevel="0" collapsed="false">
      <c r="B10" s="32" t="s">
        <v>58</v>
      </c>
      <c r="C10" s="33" t="s">
        <v>62</v>
      </c>
      <c r="D10" s="34" t="s">
        <v>63</v>
      </c>
      <c r="E10" s="35" t="n">
        <f aca="false">'START HERE'!$D$8-365</f>
        <v>-365</v>
      </c>
      <c r="F10" s="36"/>
      <c r="G10" s="37" t="s">
        <v>61</v>
      </c>
    </row>
    <row r="11" customFormat="false" ht="36" hidden="false" customHeight="true" outlineLevel="0" collapsed="false">
      <c r="B11" s="32" t="s">
        <v>58</v>
      </c>
      <c r="C11" s="33" t="s">
        <v>64</v>
      </c>
      <c r="D11" s="34" t="s">
        <v>65</v>
      </c>
      <c r="E11" s="35" t="n">
        <f aca="false">'START HERE'!$D$8-350</f>
        <v>-350</v>
      </c>
      <c r="F11" s="36"/>
      <c r="G11" s="37" t="s">
        <v>61</v>
      </c>
    </row>
    <row r="12" customFormat="false" ht="36" hidden="false" customHeight="true" outlineLevel="0" collapsed="false">
      <c r="B12" s="32" t="s">
        <v>58</v>
      </c>
      <c r="C12" s="33" t="s">
        <v>66</v>
      </c>
      <c r="D12" s="34" t="s">
        <v>67</v>
      </c>
      <c r="E12" s="35" t="n">
        <f aca="false">'START HERE'!$D$8-340</f>
        <v>-340</v>
      </c>
      <c r="F12" s="36"/>
      <c r="G12" s="37" t="s">
        <v>61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31" t="s">
        <v>68</v>
      </c>
      <c r="C14" s="31"/>
      <c r="D14" s="31"/>
      <c r="E14" s="31"/>
      <c r="F14" s="31"/>
      <c r="G14" s="31"/>
    </row>
    <row r="15" customFormat="false" ht="36" hidden="false" customHeight="true" outlineLevel="0" collapsed="false">
      <c r="B15" s="32" t="s">
        <v>58</v>
      </c>
      <c r="C15" s="33" t="s">
        <v>69</v>
      </c>
      <c r="D15" s="34" t="s">
        <v>70</v>
      </c>
      <c r="E15" s="35" t="n">
        <f aca="false">'START HERE'!$D$8-300</f>
        <v>-300</v>
      </c>
      <c r="F15" s="36"/>
      <c r="G15" s="37" t="s">
        <v>61</v>
      </c>
    </row>
    <row r="16" customFormat="false" ht="36" hidden="false" customHeight="true" outlineLevel="0" collapsed="false">
      <c r="B16" s="32" t="s">
        <v>58</v>
      </c>
      <c r="C16" s="33" t="s">
        <v>71</v>
      </c>
      <c r="D16" s="34" t="s">
        <v>72</v>
      </c>
      <c r="E16" s="35" t="n">
        <f aca="false">'START HERE'!$D$8-300</f>
        <v>-300</v>
      </c>
      <c r="F16" s="36"/>
      <c r="G16" s="37" t="s">
        <v>61</v>
      </c>
    </row>
    <row r="17" customFormat="false" ht="36" hidden="false" customHeight="true" outlineLevel="0" collapsed="false">
      <c r="B17" s="32" t="s">
        <v>58</v>
      </c>
      <c r="C17" s="33" t="s">
        <v>73</v>
      </c>
      <c r="D17" s="34" t="s">
        <v>74</v>
      </c>
      <c r="E17" s="35" t="n">
        <f aca="false">'START HERE'!$D$8-290</f>
        <v>-290</v>
      </c>
      <c r="F17" s="36"/>
      <c r="G17" s="37" t="s">
        <v>61</v>
      </c>
    </row>
    <row r="18" customFormat="false" ht="36" hidden="false" customHeight="true" outlineLevel="0" collapsed="false">
      <c r="B18" s="32" t="s">
        <v>58</v>
      </c>
      <c r="C18" s="33" t="s">
        <v>75</v>
      </c>
      <c r="D18" s="34" t="s">
        <v>76</v>
      </c>
      <c r="E18" s="35" t="n">
        <f aca="false">'START HERE'!$D$8-280</f>
        <v>-280</v>
      </c>
      <c r="F18" s="36"/>
      <c r="G18" s="37" t="s">
        <v>61</v>
      </c>
    </row>
    <row r="19" customFormat="false" ht="36" hidden="false" customHeight="true" outlineLevel="0" collapsed="false">
      <c r="B19" s="32" t="s">
        <v>58</v>
      </c>
      <c r="C19" s="33" t="s">
        <v>77</v>
      </c>
      <c r="D19" s="34" t="s">
        <v>78</v>
      </c>
      <c r="E19" s="35" t="n">
        <f aca="false">'START HERE'!$D$8-270</f>
        <v>-270</v>
      </c>
      <c r="F19" s="36"/>
      <c r="G19" s="37" t="s">
        <v>61</v>
      </c>
    </row>
    <row r="20" customFormat="false" ht="36" hidden="false" customHeight="true" outlineLevel="0" collapsed="false">
      <c r="B20" s="32" t="s">
        <v>58</v>
      </c>
      <c r="C20" s="33" t="s">
        <v>79</v>
      </c>
      <c r="D20" s="34" t="s">
        <v>80</v>
      </c>
      <c r="E20" s="35" t="n">
        <f aca="false">'START HERE'!$D$8-270</f>
        <v>-270</v>
      </c>
      <c r="F20" s="36"/>
      <c r="G20" s="37" t="s">
        <v>61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31" t="s">
        <v>81</v>
      </c>
      <c r="C22" s="31"/>
      <c r="D22" s="31"/>
      <c r="E22" s="31"/>
      <c r="F22" s="31"/>
      <c r="G22" s="31"/>
    </row>
    <row r="23" customFormat="false" ht="36" hidden="false" customHeight="true" outlineLevel="0" collapsed="false">
      <c r="B23" s="32" t="s">
        <v>58</v>
      </c>
      <c r="C23" s="33" t="s">
        <v>82</v>
      </c>
      <c r="D23" s="34" t="s">
        <v>83</v>
      </c>
      <c r="E23" s="35" t="n">
        <f aca="false">'START HERE'!$D$8-270</f>
        <v>-270</v>
      </c>
      <c r="F23" s="36"/>
      <c r="G23" s="37" t="s">
        <v>61</v>
      </c>
    </row>
    <row r="24" customFormat="false" ht="36" hidden="false" customHeight="true" outlineLevel="0" collapsed="false">
      <c r="B24" s="32" t="s">
        <v>58</v>
      </c>
      <c r="C24" s="33" t="s">
        <v>84</v>
      </c>
      <c r="D24" s="34" t="s">
        <v>85</v>
      </c>
      <c r="E24" s="35" t="n">
        <f aca="false">'START HERE'!$D$8-260</f>
        <v>-260</v>
      </c>
      <c r="F24" s="36"/>
      <c r="G24" s="37" t="s">
        <v>61</v>
      </c>
    </row>
    <row r="25" customFormat="false" ht="36" hidden="false" customHeight="true" outlineLevel="0" collapsed="false">
      <c r="B25" s="32" t="s">
        <v>58</v>
      </c>
      <c r="C25" s="33" t="s">
        <v>86</v>
      </c>
      <c r="D25" s="34" t="s">
        <v>87</v>
      </c>
      <c r="E25" s="35" t="n">
        <f aca="false">'START HERE'!$D$8-250</f>
        <v>-250</v>
      </c>
      <c r="F25" s="36"/>
      <c r="G25" s="37" t="s">
        <v>61</v>
      </c>
    </row>
    <row r="26" customFormat="false" ht="36" hidden="false" customHeight="true" outlineLevel="0" collapsed="false">
      <c r="B26" s="32" t="s">
        <v>58</v>
      </c>
      <c r="C26" s="33" t="s">
        <v>88</v>
      </c>
      <c r="D26" s="34" t="s">
        <v>89</v>
      </c>
      <c r="E26" s="35" t="n">
        <f aca="false">'START HERE'!$D$8-250</f>
        <v>-250</v>
      </c>
      <c r="F26" s="36"/>
      <c r="G26" s="37" t="s">
        <v>61</v>
      </c>
    </row>
    <row r="27" customFormat="false" ht="36" hidden="false" customHeight="true" outlineLevel="0" collapsed="false">
      <c r="B27" s="32" t="s">
        <v>58</v>
      </c>
      <c r="C27" s="33" t="s">
        <v>90</v>
      </c>
      <c r="D27" s="34" t="s">
        <v>91</v>
      </c>
      <c r="E27" s="35" t="n">
        <f aca="false">'START HERE'!$D$8-240</f>
        <v>-240</v>
      </c>
      <c r="F27" s="36"/>
      <c r="G27" s="37" t="s">
        <v>61</v>
      </c>
    </row>
    <row r="28" customFormat="false" ht="36" hidden="false" customHeight="true" outlineLevel="0" collapsed="false">
      <c r="B28" s="32" t="s">
        <v>58</v>
      </c>
      <c r="C28" s="33" t="s">
        <v>92</v>
      </c>
      <c r="D28" s="34" t="s">
        <v>93</v>
      </c>
      <c r="E28" s="35" t="n">
        <f aca="false">'START HERE'!$D$8-220</f>
        <v>-220</v>
      </c>
      <c r="F28" s="36"/>
      <c r="G28" s="37" t="s">
        <v>61</v>
      </c>
    </row>
    <row r="29" customFormat="false" ht="36" hidden="false" customHeight="true" outlineLevel="0" collapsed="false">
      <c r="B29" s="32" t="s">
        <v>58</v>
      </c>
      <c r="C29" s="33" t="s">
        <v>94</v>
      </c>
      <c r="D29" s="34" t="s">
        <v>95</v>
      </c>
      <c r="E29" s="35" t="n">
        <f aca="false">'START HERE'!$D$8-210</f>
        <v>-210</v>
      </c>
      <c r="F29" s="36"/>
      <c r="G29" s="37" t="s">
        <v>61</v>
      </c>
    </row>
    <row r="30" customFormat="false" ht="36" hidden="false" customHeight="true" outlineLevel="0" collapsed="false">
      <c r="B30" s="32" t="s">
        <v>58</v>
      </c>
      <c r="C30" s="33" t="s">
        <v>96</v>
      </c>
      <c r="D30" s="34" t="s">
        <v>97</v>
      </c>
      <c r="E30" s="35" t="n">
        <f aca="false">'START HERE'!$D$8-200</f>
        <v>-200</v>
      </c>
      <c r="F30" s="36"/>
      <c r="G30" s="37" t="s">
        <v>61</v>
      </c>
    </row>
    <row r="31" customFormat="false" ht="7.5" hidden="false" customHeight="true" outlineLevel="0" collapsed="false"/>
    <row r="32" customFormat="false" ht="19.5" hidden="false" customHeight="true" outlineLevel="0" collapsed="false">
      <c r="B32" s="31" t="s">
        <v>98</v>
      </c>
      <c r="C32" s="31"/>
      <c r="D32" s="31"/>
      <c r="E32" s="31"/>
      <c r="F32" s="31"/>
      <c r="G32" s="31"/>
    </row>
    <row r="33" customFormat="false" ht="36" hidden="false" customHeight="true" outlineLevel="0" collapsed="false">
      <c r="B33" s="32" t="s">
        <v>58</v>
      </c>
      <c r="C33" s="33" t="s">
        <v>99</v>
      </c>
      <c r="D33" s="34" t="s">
        <v>100</v>
      </c>
      <c r="E33" s="35" t="n">
        <f aca="false">'START HERE'!$D$8-180</f>
        <v>-180</v>
      </c>
      <c r="F33" s="36"/>
      <c r="G33" s="37" t="s">
        <v>61</v>
      </c>
    </row>
    <row r="34" customFormat="false" ht="36" hidden="false" customHeight="true" outlineLevel="0" collapsed="false">
      <c r="B34" s="32" t="s">
        <v>58</v>
      </c>
      <c r="C34" s="33" t="s">
        <v>101</v>
      </c>
      <c r="D34" s="34" t="s">
        <v>102</v>
      </c>
      <c r="E34" s="35" t="n">
        <f aca="false">'START HERE'!$D$8-90</f>
        <v>-90</v>
      </c>
      <c r="F34" s="36"/>
      <c r="G34" s="37" t="s">
        <v>61</v>
      </c>
    </row>
    <row r="35" customFormat="false" ht="36" hidden="false" customHeight="true" outlineLevel="0" collapsed="false">
      <c r="B35" s="32" t="s">
        <v>58</v>
      </c>
      <c r="C35" s="33" t="s">
        <v>103</v>
      </c>
      <c r="D35" s="34" t="s">
        <v>104</v>
      </c>
      <c r="E35" s="35" t="n">
        <f aca="false">'START HERE'!$D$8-85</f>
        <v>-85</v>
      </c>
      <c r="F35" s="36"/>
      <c r="G35" s="37" t="s">
        <v>61</v>
      </c>
    </row>
    <row r="36" customFormat="false" ht="36" hidden="false" customHeight="true" outlineLevel="0" collapsed="false">
      <c r="B36" s="32" t="s">
        <v>58</v>
      </c>
      <c r="C36" s="33" t="s">
        <v>105</v>
      </c>
      <c r="D36" s="34" t="s">
        <v>106</v>
      </c>
      <c r="E36" s="35" t="n">
        <f aca="false">'START HERE'!$D$8-85</f>
        <v>-85</v>
      </c>
      <c r="F36" s="36"/>
      <c r="G36" s="37" t="s">
        <v>61</v>
      </c>
    </row>
    <row r="37" customFormat="false" ht="36" hidden="false" customHeight="true" outlineLevel="0" collapsed="false">
      <c r="B37" s="32" t="s">
        <v>58</v>
      </c>
      <c r="C37" s="33" t="s">
        <v>107</v>
      </c>
      <c r="D37" s="34" t="s">
        <v>108</v>
      </c>
      <c r="E37" s="35" t="n">
        <f aca="false">'START HERE'!$D$8-55</f>
        <v>-55</v>
      </c>
      <c r="F37" s="36"/>
      <c r="G37" s="37" t="s">
        <v>61</v>
      </c>
    </row>
    <row r="38" customFormat="false" ht="36" hidden="false" customHeight="true" outlineLevel="0" collapsed="false">
      <c r="B38" s="32" t="s">
        <v>58</v>
      </c>
      <c r="C38" s="33" t="s">
        <v>109</v>
      </c>
      <c r="D38" s="34" t="s">
        <v>110</v>
      </c>
      <c r="E38" s="35" t="n">
        <f aca="false">'START HERE'!$D$8-75</f>
        <v>-75</v>
      </c>
      <c r="F38" s="36"/>
      <c r="G38" s="37" t="s">
        <v>61</v>
      </c>
    </row>
    <row r="39" customFormat="false" ht="7.5" hidden="false" customHeight="true" outlineLevel="0" collapsed="false"/>
    <row r="40" customFormat="false" ht="19.5" hidden="false" customHeight="true" outlineLevel="0" collapsed="false">
      <c r="B40" s="31" t="s">
        <v>111</v>
      </c>
      <c r="C40" s="31"/>
      <c r="D40" s="31"/>
      <c r="E40" s="31"/>
      <c r="F40" s="31"/>
      <c r="G40" s="31"/>
    </row>
    <row r="41" customFormat="false" ht="36" hidden="false" customHeight="true" outlineLevel="0" collapsed="false">
      <c r="B41" s="32" t="s">
        <v>58</v>
      </c>
      <c r="C41" s="33" t="s">
        <v>112</v>
      </c>
      <c r="D41" s="34" t="s">
        <v>113</v>
      </c>
      <c r="E41" s="35" t="n">
        <f aca="false">'START HERE'!$D$8-60</f>
        <v>-60</v>
      </c>
      <c r="F41" s="36"/>
      <c r="G41" s="37" t="s">
        <v>61</v>
      </c>
    </row>
    <row r="42" customFormat="false" ht="36" hidden="false" customHeight="true" outlineLevel="0" collapsed="false">
      <c r="B42" s="32" t="s">
        <v>58</v>
      </c>
      <c r="C42" s="33" t="s">
        <v>114</v>
      </c>
      <c r="D42" s="34" t="s">
        <v>115</v>
      </c>
      <c r="E42" s="35" t="n">
        <f aca="false">'START HERE'!$D$8-55</f>
        <v>-55</v>
      </c>
      <c r="F42" s="36"/>
      <c r="G42" s="37" t="s">
        <v>61</v>
      </c>
    </row>
    <row r="43" customFormat="false" ht="36" hidden="false" customHeight="true" outlineLevel="0" collapsed="false">
      <c r="B43" s="32" t="s">
        <v>58</v>
      </c>
      <c r="C43" s="33" t="s">
        <v>116</v>
      </c>
      <c r="D43" s="34" t="s">
        <v>117</v>
      </c>
      <c r="E43" s="35" t="n">
        <f aca="false">'START HERE'!$D$8-45</f>
        <v>-45</v>
      </c>
      <c r="F43" s="36"/>
      <c r="G43" s="37" t="s">
        <v>61</v>
      </c>
    </row>
    <row r="44" customFormat="false" ht="36" hidden="false" customHeight="true" outlineLevel="0" collapsed="false">
      <c r="B44" s="32" t="s">
        <v>58</v>
      </c>
      <c r="C44" s="33" t="s">
        <v>118</v>
      </c>
      <c r="D44" s="34" t="s">
        <v>119</v>
      </c>
      <c r="E44" s="35" t="n">
        <f aca="false">'START HERE'!$D$8-45</f>
        <v>-45</v>
      </c>
      <c r="F44" s="36"/>
      <c r="G44" s="37" t="s">
        <v>61</v>
      </c>
    </row>
    <row r="45" customFormat="false" ht="36" hidden="false" customHeight="true" outlineLevel="0" collapsed="false">
      <c r="B45" s="32" t="s">
        <v>58</v>
      </c>
      <c r="C45" s="33" t="s">
        <v>120</v>
      </c>
      <c r="D45" s="34" t="s">
        <v>121</v>
      </c>
      <c r="E45" s="35" t="n">
        <f aca="false">'START HERE'!$D$8-30</f>
        <v>-30</v>
      </c>
      <c r="F45" s="36"/>
      <c r="G45" s="37" t="s">
        <v>61</v>
      </c>
    </row>
    <row r="46" customFormat="false" ht="36" hidden="false" customHeight="true" outlineLevel="0" collapsed="false">
      <c r="B46" s="32" t="s">
        <v>58</v>
      </c>
      <c r="C46" s="33" t="s">
        <v>122</v>
      </c>
      <c r="D46" s="34" t="s">
        <v>123</v>
      </c>
      <c r="E46" s="35" t="n">
        <f aca="false">'START HERE'!$D$8-30</f>
        <v>-30</v>
      </c>
      <c r="F46" s="36"/>
      <c r="G46" s="37" t="s">
        <v>61</v>
      </c>
    </row>
    <row r="47" customFormat="false" ht="36" hidden="false" customHeight="true" outlineLevel="0" collapsed="false">
      <c r="B47" s="32" t="s">
        <v>58</v>
      </c>
      <c r="C47" s="33" t="s">
        <v>124</v>
      </c>
      <c r="D47" s="34" t="s">
        <v>125</v>
      </c>
      <c r="E47" s="35" t="n">
        <f aca="false">'START HERE'!$D$8-21</f>
        <v>-21</v>
      </c>
      <c r="F47" s="36"/>
      <c r="G47" s="37" t="s">
        <v>61</v>
      </c>
    </row>
    <row r="48" customFormat="false" ht="7.5" hidden="false" customHeight="true" outlineLevel="0" collapsed="false"/>
    <row r="49" customFormat="false" ht="19.5" hidden="false" customHeight="true" outlineLevel="0" collapsed="false">
      <c r="B49" s="31" t="s">
        <v>126</v>
      </c>
      <c r="C49" s="31"/>
      <c r="D49" s="31"/>
      <c r="E49" s="31"/>
      <c r="F49" s="31"/>
      <c r="G49" s="31"/>
    </row>
    <row r="50" customFormat="false" ht="36" hidden="false" customHeight="true" outlineLevel="0" collapsed="false">
      <c r="B50" s="32" t="s">
        <v>58</v>
      </c>
      <c r="C50" s="33" t="s">
        <v>127</v>
      </c>
      <c r="D50" s="34" t="s">
        <v>128</v>
      </c>
      <c r="E50" s="35" t="n">
        <f aca="false">'START HERE'!$D$8+0</f>
        <v>0</v>
      </c>
      <c r="F50" s="36"/>
      <c r="G50" s="37" t="s">
        <v>61</v>
      </c>
    </row>
    <row r="51" customFormat="false" ht="36" hidden="false" customHeight="true" outlineLevel="0" collapsed="false">
      <c r="B51" s="32" t="s">
        <v>58</v>
      </c>
      <c r="C51" s="33" t="s">
        <v>129</v>
      </c>
      <c r="D51" s="34" t="s">
        <v>130</v>
      </c>
      <c r="E51" s="35" t="n">
        <f aca="false">'START HERE'!$D$8+1</f>
        <v>1</v>
      </c>
      <c r="F51" s="36"/>
      <c r="G51" s="37" t="s">
        <v>61</v>
      </c>
    </row>
    <row r="52" customFormat="false" ht="36" hidden="false" customHeight="true" outlineLevel="0" collapsed="false">
      <c r="B52" s="32" t="s">
        <v>58</v>
      </c>
      <c r="C52" s="33" t="s">
        <v>131</v>
      </c>
      <c r="D52" s="34" t="s">
        <v>132</v>
      </c>
      <c r="E52" s="35" t="n">
        <f aca="false">'START HERE'!$D$8+3</f>
        <v>3</v>
      </c>
      <c r="F52" s="36"/>
      <c r="G52" s="37" t="s">
        <v>61</v>
      </c>
    </row>
    <row r="53" customFormat="false" ht="36" hidden="false" customHeight="true" outlineLevel="0" collapsed="false">
      <c r="B53" s="32" t="s">
        <v>58</v>
      </c>
      <c r="C53" s="33" t="s">
        <v>133</v>
      </c>
      <c r="D53" s="34" t="s">
        <v>134</v>
      </c>
      <c r="E53" s="35" t="n">
        <f aca="false">'START HERE'!$D$8+5</f>
        <v>5</v>
      </c>
      <c r="F53" s="36"/>
      <c r="G53" s="37" t="s">
        <v>61</v>
      </c>
    </row>
    <row r="54" customFormat="false" ht="36" hidden="false" customHeight="true" outlineLevel="0" collapsed="false">
      <c r="B54" s="32" t="s">
        <v>58</v>
      </c>
      <c r="C54" s="33" t="s">
        <v>135</v>
      </c>
      <c r="D54" s="34" t="s">
        <v>136</v>
      </c>
      <c r="E54" s="35" t="n">
        <f aca="false">'START HERE'!$D$8+3</f>
        <v>3</v>
      </c>
      <c r="F54" s="36"/>
      <c r="G54" s="37" t="s">
        <v>61</v>
      </c>
    </row>
    <row r="55" customFormat="false" ht="36" hidden="false" customHeight="true" outlineLevel="0" collapsed="false">
      <c r="B55" s="32" t="s">
        <v>58</v>
      </c>
      <c r="C55" s="33" t="s">
        <v>137</v>
      </c>
      <c r="D55" s="34" t="s">
        <v>138</v>
      </c>
      <c r="E55" s="35" t="n">
        <f aca="false">'START HERE'!$D$8+14</f>
        <v>14</v>
      </c>
      <c r="F55" s="36"/>
      <c r="G55" s="37" t="s">
        <v>61</v>
      </c>
    </row>
    <row r="56" customFormat="false" ht="36" hidden="false" customHeight="true" outlineLevel="0" collapsed="false">
      <c r="B56" s="32" t="s">
        <v>58</v>
      </c>
      <c r="C56" s="33" t="s">
        <v>139</v>
      </c>
      <c r="D56" s="34" t="s">
        <v>140</v>
      </c>
      <c r="E56" s="35" t="n">
        <f aca="false">'START HERE'!$D$8+30</f>
        <v>30</v>
      </c>
      <c r="F56" s="36"/>
      <c r="G56" s="37" t="s">
        <v>61</v>
      </c>
    </row>
    <row r="57" customFormat="false" ht="36" hidden="false" customHeight="true" outlineLevel="0" collapsed="false">
      <c r="B57" s="32" t="s">
        <v>58</v>
      </c>
      <c r="C57" s="33" t="s">
        <v>141</v>
      </c>
      <c r="D57" s="34" t="s">
        <v>142</v>
      </c>
      <c r="E57" s="35" t="n">
        <f aca="false">'START HERE'!$D$8+270</f>
        <v>270</v>
      </c>
      <c r="F57" s="36"/>
      <c r="G57" s="37" t="s">
        <v>61</v>
      </c>
    </row>
    <row r="58" customFormat="false" ht="36" hidden="false" customHeight="true" outlineLevel="0" collapsed="false">
      <c r="B58" s="32" t="s">
        <v>58</v>
      </c>
      <c r="C58" s="33" t="s">
        <v>143</v>
      </c>
      <c r="D58" s="34" t="s">
        <v>144</v>
      </c>
      <c r="E58" s="35" t="n">
        <f aca="false">'START HERE'!$D$8+285</f>
        <v>285</v>
      </c>
      <c r="F58" s="36"/>
      <c r="G58" s="37" t="s">
        <v>61</v>
      </c>
    </row>
    <row r="59" customFormat="false" ht="36" hidden="false" customHeight="true" outlineLevel="0" collapsed="false">
      <c r="B59" s="32" t="s">
        <v>58</v>
      </c>
      <c r="C59" s="33" t="s">
        <v>145</v>
      </c>
      <c r="D59" s="34" t="s">
        <v>146</v>
      </c>
      <c r="E59" s="35" t="n">
        <f aca="false">'START HERE'!$D$8+900</f>
        <v>900</v>
      </c>
      <c r="F59" s="36"/>
      <c r="G59" s="37" t="s">
        <v>61</v>
      </c>
    </row>
    <row r="60" customFormat="false" ht="7.5" hidden="false" customHeight="true" outlineLevel="0" collapsed="false"/>
    <row r="61" customFormat="false" ht="18" hidden="false" customHeight="true" outlineLevel="0" collapsed="false">
      <c r="B61" s="17" t="s">
        <v>147</v>
      </c>
      <c r="C61" s="17"/>
      <c r="D61" s="17"/>
      <c r="E61" s="17"/>
      <c r="F61" s="17"/>
      <c r="G61" s="17"/>
    </row>
    <row r="62" customFormat="false" ht="24" hidden="false" customHeight="true" outlineLevel="0" collapsed="false">
      <c r="B62" s="38"/>
      <c r="C62" s="38"/>
      <c r="D62" s="38"/>
      <c r="E62" s="38"/>
      <c r="F62" s="39"/>
      <c r="G62" s="38"/>
    </row>
    <row r="63" customFormat="false" ht="24" hidden="false" customHeight="true" outlineLevel="0" collapsed="false">
      <c r="B63" s="38"/>
      <c r="C63" s="38"/>
      <c r="D63" s="38"/>
      <c r="E63" s="38"/>
      <c r="F63" s="39"/>
      <c r="G63" s="38"/>
    </row>
    <row r="64" customFormat="false" ht="24" hidden="false" customHeight="true" outlineLevel="0" collapsed="false">
      <c r="B64" s="38"/>
      <c r="C64" s="38"/>
      <c r="D64" s="38"/>
      <c r="E64" s="38"/>
      <c r="F64" s="39"/>
      <c r="G64" s="38"/>
    </row>
    <row r="65" customFormat="false" ht="24" hidden="false" customHeight="true" outlineLevel="0" collapsed="false">
      <c r="B65" s="38"/>
      <c r="C65" s="38"/>
      <c r="D65" s="38"/>
      <c r="E65" s="38"/>
      <c r="F65" s="39"/>
      <c r="G65" s="38"/>
    </row>
    <row r="66" customFormat="false" ht="24" hidden="false" customHeight="true" outlineLevel="0" collapsed="false">
      <c r="B66" s="38"/>
      <c r="C66" s="38"/>
      <c r="D66" s="38"/>
      <c r="E66" s="38"/>
      <c r="F66" s="39"/>
      <c r="G66" s="38"/>
    </row>
    <row r="67" customFormat="false" ht="24" hidden="false" customHeight="true" outlineLevel="0" collapsed="false">
      <c r="B67" s="38"/>
      <c r="C67" s="38"/>
      <c r="D67" s="38"/>
      <c r="E67" s="38"/>
      <c r="F67" s="39"/>
      <c r="G67" s="38"/>
    </row>
    <row r="68" customFormat="false" ht="24" hidden="false" customHeight="true" outlineLevel="0" collapsed="false">
      <c r="B68" s="38"/>
      <c r="C68" s="38"/>
      <c r="D68" s="38"/>
      <c r="E68" s="38"/>
      <c r="F68" s="39"/>
      <c r="G68" s="38"/>
    </row>
    <row r="69" customFormat="false" ht="24" hidden="false" customHeight="true" outlineLevel="0" collapsed="false">
      <c r="B69" s="38"/>
      <c r="C69" s="38"/>
      <c r="D69" s="38"/>
      <c r="E69" s="38"/>
      <c r="F69" s="39"/>
      <c r="G69" s="38"/>
    </row>
    <row r="70" customFormat="false" ht="7.5" hidden="false" customHeight="true" outlineLevel="0" collapsed="false"/>
    <row r="71" customFormat="false" ht="15" hidden="false" customHeight="false" outlineLevel="0" collapsed="false">
      <c r="B71" s="25" t="s">
        <v>148</v>
      </c>
      <c r="C71" s="25"/>
      <c r="D71" s="25"/>
      <c r="E71" s="25"/>
      <c r="F71" s="25"/>
      <c r="G71" s="25"/>
    </row>
  </sheetData>
  <mergeCells count="13">
    <mergeCell ref="B1:G1"/>
    <mergeCell ref="B2:G2"/>
    <mergeCell ref="B3:G3"/>
    <mergeCell ref="B5:C5"/>
    <mergeCell ref="E5:G5"/>
    <mergeCell ref="B8:G8"/>
    <mergeCell ref="B14:G14"/>
    <mergeCell ref="B22:G22"/>
    <mergeCell ref="B32:G32"/>
    <mergeCell ref="B40:G40"/>
    <mergeCell ref="B49:G49"/>
    <mergeCell ref="B61:G61"/>
    <mergeCell ref="B71:G71"/>
  </mergeCells>
  <dataValidations count="1">
    <dataValidation allowBlank="true" errorStyle="stop" operator="between" showDropDown="false" showErrorMessage="false" showInputMessage="false" sqref="G9:G12 G15:G20 G23:G30 G33:G38 G41:G47 G50:G59" type="list">
      <formula1>"Done,In Progress,Not Started,Skipped"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BC8A"/>
    <pageSetUpPr fitToPage="false"/>
  </sheetPr>
  <dimension ref="B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2"/>
  </cols>
  <sheetData>
    <row r="1" customFormat="false" ht="15.75" hidden="false" customHeight="true" outlineLevel="0" collapsed="false">
      <c r="B1" s="1" t="s">
        <v>46</v>
      </c>
      <c r="C1" s="1"/>
      <c r="D1" s="1"/>
      <c r="E1" s="1"/>
      <c r="F1" s="1"/>
      <c r="G1" s="1"/>
    </row>
    <row r="2" customFormat="false" ht="25.5" hidden="false" customHeight="true" outlineLevel="0" collapsed="false">
      <c r="B2" s="26" t="s">
        <v>149</v>
      </c>
      <c r="C2" s="26"/>
      <c r="D2" s="26"/>
      <c r="E2" s="26"/>
      <c r="F2" s="26"/>
      <c r="G2" s="26"/>
    </row>
    <row r="3" customFormat="false" ht="15.75" hidden="false" customHeight="true" outlineLevel="0" collapsed="false">
      <c r="B3" s="27" t="s">
        <v>150</v>
      </c>
      <c r="C3" s="27"/>
      <c r="D3" s="27"/>
      <c r="E3" s="27"/>
      <c r="F3" s="27"/>
      <c r="G3" s="27"/>
    </row>
    <row r="4" customFormat="false" ht="7.5" hidden="false" customHeight="true" outlineLevel="0" collapsed="false"/>
    <row r="5" customFormat="false" ht="21.75" hidden="false" customHeight="true" outlineLevel="0" collapsed="false">
      <c r="B5" s="28" t="s">
        <v>49</v>
      </c>
      <c r="C5" s="28"/>
      <c r="D5" s="29" t="n">
        <f aca="false">'START HERE'!$D$8</f>
        <v>0</v>
      </c>
      <c r="E5" s="25" t="s">
        <v>50</v>
      </c>
      <c r="F5" s="25"/>
      <c r="G5" s="25"/>
    </row>
    <row r="6" customFormat="false" ht="7.5" hidden="false" customHeight="true" outlineLevel="0" collapsed="false"/>
    <row r="7" customFormat="false" ht="21.75" hidden="false" customHeight="true" outlineLevel="0" collapsed="false">
      <c r="B7" s="30" t="s">
        <v>51</v>
      </c>
      <c r="C7" s="30" t="s">
        <v>52</v>
      </c>
      <c r="D7" s="30" t="s">
        <v>53</v>
      </c>
      <c r="E7" s="30" t="s">
        <v>54</v>
      </c>
      <c r="F7" s="30" t="s">
        <v>55</v>
      </c>
      <c r="G7" s="30" t="s">
        <v>56</v>
      </c>
    </row>
    <row r="8" customFormat="false" ht="19.5" hidden="false" customHeight="true" outlineLevel="0" collapsed="false">
      <c r="B8" s="31" t="s">
        <v>57</v>
      </c>
      <c r="C8" s="31"/>
      <c r="D8" s="31"/>
      <c r="E8" s="31"/>
      <c r="F8" s="31"/>
      <c r="G8" s="31"/>
    </row>
    <row r="9" customFormat="false" ht="36" hidden="false" customHeight="true" outlineLevel="0" collapsed="false">
      <c r="B9" s="32" t="s">
        <v>58</v>
      </c>
      <c r="C9" s="33" t="s">
        <v>59</v>
      </c>
      <c r="D9" s="34" t="s">
        <v>60</v>
      </c>
      <c r="E9" s="35" t="n">
        <f aca="false">'START HERE'!$D$8-365</f>
        <v>-365</v>
      </c>
      <c r="F9" s="36"/>
      <c r="G9" s="37" t="s">
        <v>61</v>
      </c>
    </row>
    <row r="10" customFormat="false" ht="36" hidden="false" customHeight="true" outlineLevel="0" collapsed="false">
      <c r="B10" s="32" t="s">
        <v>58</v>
      </c>
      <c r="C10" s="33" t="s">
        <v>62</v>
      </c>
      <c r="D10" s="34" t="s">
        <v>63</v>
      </c>
      <c r="E10" s="35" t="n">
        <f aca="false">'START HERE'!$D$8-365</f>
        <v>-365</v>
      </c>
      <c r="F10" s="36"/>
      <c r="G10" s="37" t="s">
        <v>61</v>
      </c>
    </row>
    <row r="11" customFormat="false" ht="36" hidden="false" customHeight="true" outlineLevel="0" collapsed="false">
      <c r="B11" s="32" t="s">
        <v>58</v>
      </c>
      <c r="C11" s="33" t="s">
        <v>151</v>
      </c>
      <c r="D11" s="34" t="s">
        <v>152</v>
      </c>
      <c r="E11" s="35" t="n">
        <f aca="false">'START HERE'!$D$8-350</f>
        <v>-350</v>
      </c>
      <c r="F11" s="36"/>
      <c r="G11" s="37" t="s">
        <v>61</v>
      </c>
    </row>
    <row r="12" customFormat="false" ht="36" hidden="false" customHeight="true" outlineLevel="0" collapsed="false">
      <c r="B12" s="32" t="s">
        <v>58</v>
      </c>
      <c r="C12" s="33" t="s">
        <v>153</v>
      </c>
      <c r="D12" s="34" t="s">
        <v>154</v>
      </c>
      <c r="E12" s="35" t="n">
        <f aca="false">'START HERE'!$D$8-340</f>
        <v>-340</v>
      </c>
      <c r="F12" s="36"/>
      <c r="G12" s="37" t="s">
        <v>61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31" t="s">
        <v>68</v>
      </c>
      <c r="C14" s="31"/>
      <c r="D14" s="31"/>
      <c r="E14" s="31"/>
      <c r="F14" s="31"/>
      <c r="G14" s="31"/>
    </row>
    <row r="15" customFormat="false" ht="36" hidden="false" customHeight="true" outlineLevel="0" collapsed="false">
      <c r="B15" s="32" t="s">
        <v>58</v>
      </c>
      <c r="C15" s="33" t="s">
        <v>71</v>
      </c>
      <c r="D15" s="34" t="s">
        <v>155</v>
      </c>
      <c r="E15" s="35" t="n">
        <f aca="false">'START HERE'!$D$8-300</f>
        <v>-300</v>
      </c>
      <c r="F15" s="36"/>
      <c r="G15" s="37" t="s">
        <v>61</v>
      </c>
    </row>
    <row r="16" customFormat="false" ht="36" hidden="false" customHeight="true" outlineLevel="0" collapsed="false">
      <c r="B16" s="32" t="s">
        <v>58</v>
      </c>
      <c r="C16" s="33" t="s">
        <v>77</v>
      </c>
      <c r="D16" s="34" t="s">
        <v>156</v>
      </c>
      <c r="E16" s="35" t="n">
        <f aca="false">'START HERE'!$D$8-280</f>
        <v>-280</v>
      </c>
      <c r="F16" s="36"/>
      <c r="G16" s="37" t="s">
        <v>61</v>
      </c>
    </row>
    <row r="17" customFormat="false" ht="36" hidden="false" customHeight="true" outlineLevel="0" collapsed="false">
      <c r="B17" s="32" t="s">
        <v>58</v>
      </c>
      <c r="C17" s="33" t="s">
        <v>75</v>
      </c>
      <c r="D17" s="34" t="s">
        <v>157</v>
      </c>
      <c r="E17" s="35" t="n">
        <f aca="false">'START HERE'!$D$8-280</f>
        <v>-280</v>
      </c>
      <c r="F17" s="36"/>
      <c r="G17" s="37" t="s">
        <v>61</v>
      </c>
    </row>
    <row r="18" customFormat="false" ht="36" hidden="false" customHeight="true" outlineLevel="0" collapsed="false">
      <c r="B18" s="32" t="s">
        <v>58</v>
      </c>
      <c r="C18" s="33" t="s">
        <v>73</v>
      </c>
      <c r="D18" s="34" t="s">
        <v>158</v>
      </c>
      <c r="E18" s="35" t="n">
        <f aca="false">'START HERE'!$D$8-270</f>
        <v>-270</v>
      </c>
      <c r="F18" s="36"/>
      <c r="G18" s="37" t="s">
        <v>61</v>
      </c>
    </row>
    <row r="19" customFormat="false" ht="7.5" hidden="false" customHeight="true" outlineLevel="0" collapsed="false"/>
    <row r="20" customFormat="false" ht="19.5" hidden="false" customHeight="true" outlineLevel="0" collapsed="false">
      <c r="B20" s="31" t="s">
        <v>81</v>
      </c>
      <c r="C20" s="31"/>
      <c r="D20" s="31"/>
      <c r="E20" s="31"/>
      <c r="F20" s="31"/>
      <c r="G20" s="31"/>
    </row>
    <row r="21" customFormat="false" ht="36" hidden="false" customHeight="true" outlineLevel="0" collapsed="false">
      <c r="B21" s="32" t="s">
        <v>58</v>
      </c>
      <c r="C21" s="33" t="s">
        <v>82</v>
      </c>
      <c r="D21" s="34" t="s">
        <v>159</v>
      </c>
      <c r="E21" s="35" t="n">
        <f aca="false">'START HERE'!$D$8-270</f>
        <v>-270</v>
      </c>
      <c r="F21" s="36"/>
      <c r="G21" s="37" t="s">
        <v>61</v>
      </c>
    </row>
    <row r="22" customFormat="false" ht="36" hidden="false" customHeight="true" outlineLevel="0" collapsed="false">
      <c r="B22" s="32" t="s">
        <v>58</v>
      </c>
      <c r="C22" s="33" t="s">
        <v>84</v>
      </c>
      <c r="D22" s="34" t="s">
        <v>160</v>
      </c>
      <c r="E22" s="35" t="n">
        <f aca="false">'START HERE'!$D$8-260</f>
        <v>-260</v>
      </c>
      <c r="F22" s="36"/>
      <c r="G22" s="37" t="s">
        <v>61</v>
      </c>
    </row>
    <row r="23" customFormat="false" ht="36" hidden="false" customHeight="true" outlineLevel="0" collapsed="false">
      <c r="B23" s="32" t="s">
        <v>58</v>
      </c>
      <c r="C23" s="33" t="s">
        <v>86</v>
      </c>
      <c r="D23" s="34" t="s">
        <v>161</v>
      </c>
      <c r="E23" s="35" t="n">
        <f aca="false">'START HERE'!$D$8-250</f>
        <v>-250</v>
      </c>
      <c r="F23" s="36"/>
      <c r="G23" s="37" t="s">
        <v>61</v>
      </c>
    </row>
    <row r="24" customFormat="false" ht="36" hidden="false" customHeight="true" outlineLevel="0" collapsed="false">
      <c r="B24" s="32" t="s">
        <v>58</v>
      </c>
      <c r="C24" s="33" t="s">
        <v>162</v>
      </c>
      <c r="D24" s="34" t="s">
        <v>163</v>
      </c>
      <c r="E24" s="35" t="n">
        <f aca="false">'START HERE'!$D$8-245</f>
        <v>-245</v>
      </c>
      <c r="F24" s="36"/>
      <c r="G24" s="37" t="s">
        <v>61</v>
      </c>
    </row>
    <row r="25" customFormat="false" ht="36" hidden="false" customHeight="true" outlineLevel="0" collapsed="false">
      <c r="B25" s="32" t="s">
        <v>58</v>
      </c>
      <c r="C25" s="33" t="s">
        <v>90</v>
      </c>
      <c r="D25" s="34" t="s">
        <v>164</v>
      </c>
      <c r="E25" s="35" t="n">
        <f aca="false">'START HERE'!$D$8-240</f>
        <v>-240</v>
      </c>
      <c r="F25" s="36"/>
      <c r="G25" s="37" t="s">
        <v>61</v>
      </c>
    </row>
    <row r="26" customFormat="false" ht="36" hidden="false" customHeight="true" outlineLevel="0" collapsed="false">
      <c r="B26" s="32" t="s">
        <v>58</v>
      </c>
      <c r="C26" s="33" t="s">
        <v>165</v>
      </c>
      <c r="D26" s="34" t="s">
        <v>166</v>
      </c>
      <c r="E26" s="35" t="n">
        <f aca="false">'START HERE'!$D$8-220</f>
        <v>-220</v>
      </c>
      <c r="F26" s="36"/>
      <c r="G26" s="37" t="s">
        <v>61</v>
      </c>
    </row>
    <row r="27" customFormat="false" ht="36" hidden="false" customHeight="true" outlineLevel="0" collapsed="false">
      <c r="B27" s="32" t="s">
        <v>58</v>
      </c>
      <c r="C27" s="33" t="s">
        <v>167</v>
      </c>
      <c r="D27" s="34" t="s">
        <v>168</v>
      </c>
      <c r="E27" s="35" t="n">
        <f aca="false">'START HERE'!$D$8-200</f>
        <v>-200</v>
      </c>
      <c r="F27" s="36"/>
      <c r="G27" s="37" t="s">
        <v>61</v>
      </c>
    </row>
    <row r="28" customFormat="false" ht="36" hidden="false" customHeight="true" outlineLevel="0" collapsed="false">
      <c r="B28" s="32" t="s">
        <v>58</v>
      </c>
      <c r="C28" s="33" t="s">
        <v>96</v>
      </c>
      <c r="D28" s="34" t="s">
        <v>169</v>
      </c>
      <c r="E28" s="35" t="n">
        <f aca="false">'START HERE'!$D$8-195</f>
        <v>-195</v>
      </c>
      <c r="F28" s="36"/>
      <c r="G28" s="37" t="s">
        <v>61</v>
      </c>
    </row>
    <row r="29" customFormat="false" ht="7.5" hidden="false" customHeight="true" outlineLevel="0" collapsed="false"/>
    <row r="30" customFormat="false" ht="19.5" hidden="false" customHeight="true" outlineLevel="0" collapsed="false">
      <c r="B30" s="31" t="s">
        <v>170</v>
      </c>
      <c r="C30" s="31"/>
      <c r="D30" s="31"/>
      <c r="E30" s="31"/>
      <c r="F30" s="31"/>
      <c r="G30" s="31"/>
    </row>
    <row r="31" customFormat="false" ht="36" hidden="false" customHeight="true" outlineLevel="0" collapsed="false">
      <c r="B31" s="32" t="s">
        <v>58</v>
      </c>
      <c r="C31" s="33" t="s">
        <v>171</v>
      </c>
      <c r="D31" s="34" t="s">
        <v>172</v>
      </c>
      <c r="E31" s="35" t="n">
        <f aca="false">'START HERE'!$D$8-180</f>
        <v>-180</v>
      </c>
      <c r="F31" s="36"/>
      <c r="G31" s="37" t="s">
        <v>61</v>
      </c>
    </row>
    <row r="32" customFormat="false" ht="36" hidden="false" customHeight="true" outlineLevel="0" collapsed="false">
      <c r="B32" s="32" t="s">
        <v>58</v>
      </c>
      <c r="C32" s="33" t="s">
        <v>173</v>
      </c>
      <c r="D32" s="34" t="s">
        <v>174</v>
      </c>
      <c r="E32" s="35" t="n">
        <f aca="false">'START HERE'!$D$8-160</f>
        <v>-160</v>
      </c>
      <c r="F32" s="36"/>
      <c r="G32" s="37" t="s">
        <v>61</v>
      </c>
    </row>
    <row r="33" customFormat="false" ht="36" hidden="false" customHeight="true" outlineLevel="0" collapsed="false">
      <c r="B33" s="32" t="s">
        <v>58</v>
      </c>
      <c r="C33" s="33" t="s">
        <v>175</v>
      </c>
      <c r="D33" s="34" t="s">
        <v>176</v>
      </c>
      <c r="E33" s="35" t="n">
        <f aca="false">'START HERE'!$D$8-150</f>
        <v>-150</v>
      </c>
      <c r="F33" s="36"/>
      <c r="G33" s="37" t="s">
        <v>61</v>
      </c>
    </row>
    <row r="34" customFormat="false" ht="36" hidden="false" customHeight="true" outlineLevel="0" collapsed="false">
      <c r="B34" s="32" t="s">
        <v>58</v>
      </c>
      <c r="C34" s="33" t="s">
        <v>177</v>
      </c>
      <c r="D34" s="34" t="s">
        <v>178</v>
      </c>
      <c r="E34" s="35" t="n">
        <f aca="false">'START HERE'!$D$8-150</f>
        <v>-150</v>
      </c>
      <c r="F34" s="36"/>
      <c r="G34" s="37" t="s">
        <v>61</v>
      </c>
    </row>
    <row r="35" customFormat="false" ht="36" hidden="false" customHeight="true" outlineLevel="0" collapsed="false">
      <c r="B35" s="32" t="s">
        <v>58</v>
      </c>
      <c r="C35" s="33" t="s">
        <v>179</v>
      </c>
      <c r="D35" s="34" t="s">
        <v>180</v>
      </c>
      <c r="E35" s="35" t="n">
        <f aca="false">'START HERE'!$D$8-30</f>
        <v>-30</v>
      </c>
      <c r="F35" s="36"/>
      <c r="G35" s="37" t="s">
        <v>61</v>
      </c>
    </row>
    <row r="36" customFormat="false" ht="7.5" hidden="false" customHeight="true" outlineLevel="0" collapsed="false"/>
    <row r="37" customFormat="false" ht="19.5" hidden="false" customHeight="true" outlineLevel="0" collapsed="false">
      <c r="B37" s="31" t="s">
        <v>181</v>
      </c>
      <c r="C37" s="31"/>
      <c r="D37" s="31"/>
      <c r="E37" s="31"/>
      <c r="F37" s="31"/>
      <c r="G37" s="31"/>
    </row>
    <row r="38" customFormat="false" ht="36" hidden="false" customHeight="true" outlineLevel="0" collapsed="false">
      <c r="B38" s="32" t="s">
        <v>58</v>
      </c>
      <c r="C38" s="33" t="s">
        <v>182</v>
      </c>
      <c r="D38" s="34" t="s">
        <v>183</v>
      </c>
      <c r="E38" s="35" t="n">
        <f aca="false">'START HERE'!$D$8-60</f>
        <v>-60</v>
      </c>
      <c r="F38" s="36"/>
      <c r="G38" s="37" t="s">
        <v>61</v>
      </c>
    </row>
    <row r="39" customFormat="false" ht="36" hidden="false" customHeight="true" outlineLevel="0" collapsed="false">
      <c r="B39" s="32" t="s">
        <v>58</v>
      </c>
      <c r="C39" s="33" t="s">
        <v>118</v>
      </c>
      <c r="D39" s="34" t="s">
        <v>184</v>
      </c>
      <c r="E39" s="35" t="n">
        <f aca="false">'START HERE'!$D$8-45</f>
        <v>-45</v>
      </c>
      <c r="F39" s="36"/>
      <c r="G39" s="37" t="s">
        <v>61</v>
      </c>
    </row>
    <row r="40" customFormat="false" ht="36" hidden="false" customHeight="true" outlineLevel="0" collapsed="false">
      <c r="B40" s="32" t="s">
        <v>58</v>
      </c>
      <c r="C40" s="33" t="s">
        <v>120</v>
      </c>
      <c r="D40" s="34" t="s">
        <v>185</v>
      </c>
      <c r="E40" s="35" t="n">
        <f aca="false">'START HERE'!$D$8-30</f>
        <v>-30</v>
      </c>
      <c r="F40" s="36"/>
      <c r="G40" s="37" t="s">
        <v>61</v>
      </c>
    </row>
    <row r="41" customFormat="false" ht="36" hidden="false" customHeight="true" outlineLevel="0" collapsed="false">
      <c r="B41" s="32" t="s">
        <v>58</v>
      </c>
      <c r="C41" s="33" t="s">
        <v>122</v>
      </c>
      <c r="D41" s="34" t="s">
        <v>186</v>
      </c>
      <c r="E41" s="35" t="n">
        <f aca="false">'START HERE'!$D$8-30</f>
        <v>-30</v>
      </c>
      <c r="F41" s="36"/>
      <c r="G41" s="37" t="s">
        <v>61</v>
      </c>
    </row>
    <row r="42" customFormat="false" ht="36" hidden="false" customHeight="true" outlineLevel="0" collapsed="false">
      <c r="B42" s="32" t="s">
        <v>58</v>
      </c>
      <c r="C42" s="33" t="s">
        <v>187</v>
      </c>
      <c r="D42" s="34" t="s">
        <v>188</v>
      </c>
      <c r="E42" s="35" t="n">
        <f aca="false">'START HERE'!$D$8-7</f>
        <v>-7</v>
      </c>
      <c r="F42" s="36"/>
      <c r="G42" s="37" t="s">
        <v>61</v>
      </c>
    </row>
    <row r="43" customFormat="false" ht="7.5" hidden="false" customHeight="true" outlineLevel="0" collapsed="false"/>
    <row r="44" customFormat="false" ht="19.5" hidden="false" customHeight="true" outlineLevel="0" collapsed="false">
      <c r="B44" s="31" t="s">
        <v>126</v>
      </c>
      <c r="C44" s="31"/>
      <c r="D44" s="31"/>
      <c r="E44" s="31"/>
      <c r="F44" s="31"/>
      <c r="G44" s="31"/>
    </row>
    <row r="45" customFormat="false" ht="36" hidden="false" customHeight="true" outlineLevel="0" collapsed="false">
      <c r="B45" s="32" t="s">
        <v>58</v>
      </c>
      <c r="C45" s="33" t="s">
        <v>189</v>
      </c>
      <c r="D45" s="34" t="s">
        <v>190</v>
      </c>
      <c r="E45" s="35" t="n">
        <f aca="false">'START HERE'!$D$8+0</f>
        <v>0</v>
      </c>
      <c r="F45" s="36"/>
      <c r="G45" s="37" t="s">
        <v>61</v>
      </c>
    </row>
    <row r="46" customFormat="false" ht="36" hidden="false" customHeight="true" outlineLevel="0" collapsed="false">
      <c r="B46" s="32" t="s">
        <v>58</v>
      </c>
      <c r="C46" s="33" t="s">
        <v>109</v>
      </c>
      <c r="D46" s="34" t="s">
        <v>191</v>
      </c>
      <c r="E46" s="35" t="n">
        <f aca="false">'START HERE'!$D$8+7</f>
        <v>7</v>
      </c>
      <c r="F46" s="36"/>
      <c r="G46" s="37" t="s">
        <v>61</v>
      </c>
    </row>
    <row r="47" customFormat="false" ht="36" hidden="false" customHeight="true" outlineLevel="0" collapsed="false">
      <c r="B47" s="32" t="s">
        <v>58</v>
      </c>
      <c r="C47" s="33" t="s">
        <v>192</v>
      </c>
      <c r="D47" s="34" t="s">
        <v>193</v>
      </c>
      <c r="E47" s="35" t="n">
        <f aca="false">'START HERE'!$D$8+1</f>
        <v>1</v>
      </c>
      <c r="F47" s="36"/>
      <c r="G47" s="37" t="s">
        <v>61</v>
      </c>
    </row>
    <row r="48" customFormat="false" ht="36" hidden="false" customHeight="true" outlineLevel="0" collapsed="false">
      <c r="B48" s="32" t="s">
        <v>58</v>
      </c>
      <c r="C48" s="33" t="s">
        <v>112</v>
      </c>
      <c r="D48" s="34" t="s">
        <v>194</v>
      </c>
      <c r="E48" s="35" t="n">
        <f aca="false">'START HERE'!$D$8+5</f>
        <v>5</v>
      </c>
      <c r="F48" s="36"/>
      <c r="G48" s="37" t="s">
        <v>61</v>
      </c>
    </row>
    <row r="49" customFormat="false" ht="36" hidden="false" customHeight="true" outlineLevel="0" collapsed="false">
      <c r="B49" s="32" t="s">
        <v>58</v>
      </c>
      <c r="C49" s="33" t="s">
        <v>195</v>
      </c>
      <c r="D49" s="34" t="s">
        <v>196</v>
      </c>
      <c r="E49" s="35" t="n">
        <f aca="false">'START HERE'!$D$8+3</f>
        <v>3</v>
      </c>
      <c r="F49" s="36"/>
      <c r="G49" s="37" t="s">
        <v>61</v>
      </c>
    </row>
    <row r="50" customFormat="false" ht="36" hidden="false" customHeight="true" outlineLevel="0" collapsed="false">
      <c r="B50" s="32" t="s">
        <v>58</v>
      </c>
      <c r="C50" s="33" t="s">
        <v>197</v>
      </c>
      <c r="D50" s="34" t="s">
        <v>198</v>
      </c>
      <c r="E50" s="35" t="n">
        <f aca="false">'START HERE'!$D$8+30</f>
        <v>30</v>
      </c>
      <c r="F50" s="36"/>
      <c r="G50" s="37" t="s">
        <v>61</v>
      </c>
    </row>
    <row r="51" customFormat="false" ht="36" hidden="false" customHeight="true" outlineLevel="0" collapsed="false">
      <c r="B51" s="32" t="s">
        <v>58</v>
      </c>
      <c r="C51" s="33" t="s">
        <v>141</v>
      </c>
      <c r="D51" s="34" t="s">
        <v>199</v>
      </c>
      <c r="E51" s="35" t="n">
        <f aca="false">'START HERE'!$D$8+270</f>
        <v>270</v>
      </c>
      <c r="F51" s="36"/>
      <c r="G51" s="37" t="s">
        <v>61</v>
      </c>
    </row>
    <row r="52" customFormat="false" ht="36" hidden="false" customHeight="true" outlineLevel="0" collapsed="false">
      <c r="B52" s="32" t="s">
        <v>58</v>
      </c>
      <c r="C52" s="33" t="s">
        <v>143</v>
      </c>
      <c r="D52" s="34" t="s">
        <v>200</v>
      </c>
      <c r="E52" s="35" t="n">
        <f aca="false">'START HERE'!$D$8+285</f>
        <v>285</v>
      </c>
      <c r="F52" s="36"/>
      <c r="G52" s="37" t="s">
        <v>61</v>
      </c>
    </row>
    <row r="53" customFormat="false" ht="7.5" hidden="false" customHeight="true" outlineLevel="0" collapsed="false"/>
    <row r="54" customFormat="false" ht="18" hidden="false" customHeight="true" outlineLevel="0" collapsed="false">
      <c r="B54" s="17" t="s">
        <v>147</v>
      </c>
      <c r="C54" s="17"/>
      <c r="D54" s="17"/>
      <c r="E54" s="17"/>
      <c r="F54" s="17"/>
      <c r="G54" s="17"/>
    </row>
    <row r="55" customFormat="false" ht="24" hidden="false" customHeight="true" outlineLevel="0" collapsed="false">
      <c r="B55" s="38"/>
      <c r="C55" s="38"/>
      <c r="D55" s="38"/>
      <c r="E55" s="38"/>
      <c r="F55" s="39"/>
      <c r="G55" s="38"/>
    </row>
    <row r="56" customFormat="false" ht="24" hidden="false" customHeight="true" outlineLevel="0" collapsed="false">
      <c r="B56" s="38"/>
      <c r="C56" s="38"/>
      <c r="D56" s="38"/>
      <c r="E56" s="38"/>
      <c r="F56" s="39"/>
      <c r="G56" s="38"/>
    </row>
    <row r="57" customFormat="false" ht="24" hidden="false" customHeight="true" outlineLevel="0" collapsed="false">
      <c r="B57" s="38"/>
      <c r="C57" s="38"/>
      <c r="D57" s="38"/>
      <c r="E57" s="38"/>
      <c r="F57" s="39"/>
      <c r="G57" s="38"/>
    </row>
    <row r="58" customFormat="false" ht="24" hidden="false" customHeight="true" outlineLevel="0" collapsed="false">
      <c r="B58" s="38"/>
      <c r="C58" s="38"/>
      <c r="D58" s="38"/>
      <c r="E58" s="38"/>
      <c r="F58" s="39"/>
      <c r="G58" s="38"/>
    </row>
    <row r="59" customFormat="false" ht="24" hidden="false" customHeight="true" outlineLevel="0" collapsed="false">
      <c r="B59" s="38"/>
      <c r="C59" s="38"/>
      <c r="D59" s="38"/>
      <c r="E59" s="38"/>
      <c r="F59" s="39"/>
      <c r="G59" s="38"/>
    </row>
    <row r="60" customFormat="false" ht="24" hidden="false" customHeight="true" outlineLevel="0" collapsed="false">
      <c r="B60" s="38"/>
      <c r="C60" s="38"/>
      <c r="D60" s="38"/>
      <c r="E60" s="38"/>
      <c r="F60" s="39"/>
      <c r="G60" s="38"/>
    </row>
    <row r="61" customFormat="false" ht="24" hidden="false" customHeight="true" outlineLevel="0" collapsed="false">
      <c r="B61" s="38"/>
      <c r="C61" s="38"/>
      <c r="D61" s="38"/>
      <c r="E61" s="38"/>
      <c r="F61" s="39"/>
      <c r="G61" s="38"/>
    </row>
    <row r="62" customFormat="false" ht="24" hidden="false" customHeight="true" outlineLevel="0" collapsed="false">
      <c r="B62" s="38"/>
      <c r="C62" s="38"/>
      <c r="D62" s="38"/>
      <c r="E62" s="38"/>
      <c r="F62" s="39"/>
      <c r="G62" s="38"/>
    </row>
    <row r="63" customFormat="false" ht="7.5" hidden="false" customHeight="true" outlineLevel="0" collapsed="false"/>
    <row r="64" customFormat="false" ht="15" hidden="false" customHeight="false" outlineLevel="0" collapsed="false">
      <c r="B64" s="25" t="s">
        <v>148</v>
      </c>
      <c r="C64" s="25"/>
      <c r="D64" s="25"/>
      <c r="E64" s="25"/>
      <c r="F64" s="25"/>
      <c r="G64" s="25"/>
    </row>
  </sheetData>
  <mergeCells count="13">
    <mergeCell ref="B1:G1"/>
    <mergeCell ref="B2:G2"/>
    <mergeCell ref="B3:G3"/>
    <mergeCell ref="B5:C5"/>
    <mergeCell ref="E5:G5"/>
    <mergeCell ref="B8:G8"/>
    <mergeCell ref="B14:G14"/>
    <mergeCell ref="B20:G20"/>
    <mergeCell ref="B30:G30"/>
    <mergeCell ref="B37:G37"/>
    <mergeCell ref="B44:G44"/>
    <mergeCell ref="B54:G54"/>
    <mergeCell ref="B64:G64"/>
  </mergeCells>
  <dataValidations count="1">
    <dataValidation allowBlank="true" errorStyle="stop" operator="between" showDropDown="false" showErrorMessage="false" showInputMessage="false" sqref="G9:G12 G15:G18 G21:G28 G31:G35 G38:G42 G45:G52" type="list">
      <formula1>"Done,In Progress,Not Started,Skipped"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C1C"/>
    <pageSetUpPr fitToPage="false"/>
  </sheetPr>
  <dimension ref="B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2"/>
  </cols>
  <sheetData>
    <row r="1" customFormat="false" ht="15.75" hidden="false" customHeight="true" outlineLevel="0" collapsed="false">
      <c r="B1" s="1" t="s">
        <v>46</v>
      </c>
      <c r="C1" s="1"/>
      <c r="D1" s="1"/>
      <c r="E1" s="1"/>
      <c r="F1" s="1"/>
      <c r="G1" s="1"/>
    </row>
    <row r="2" customFormat="false" ht="25.5" hidden="false" customHeight="true" outlineLevel="0" collapsed="false">
      <c r="B2" s="26" t="s">
        <v>201</v>
      </c>
      <c r="C2" s="26"/>
      <c r="D2" s="26"/>
      <c r="E2" s="26"/>
      <c r="F2" s="26"/>
      <c r="G2" s="26"/>
    </row>
    <row r="3" customFormat="false" ht="15.75" hidden="false" customHeight="true" outlineLevel="0" collapsed="false">
      <c r="B3" s="27" t="s">
        <v>202</v>
      </c>
      <c r="C3" s="27"/>
      <c r="D3" s="27"/>
      <c r="E3" s="27"/>
      <c r="F3" s="27"/>
      <c r="G3" s="27"/>
    </row>
    <row r="4" customFormat="false" ht="7.5" hidden="false" customHeight="true" outlineLevel="0" collapsed="false"/>
    <row r="5" customFormat="false" ht="21.75" hidden="false" customHeight="true" outlineLevel="0" collapsed="false">
      <c r="B5" s="28" t="s">
        <v>49</v>
      </c>
      <c r="C5" s="28"/>
      <c r="D5" s="29" t="n">
        <f aca="false">'START HERE'!$D$8</f>
        <v>0</v>
      </c>
      <c r="E5" s="25" t="s">
        <v>50</v>
      </c>
      <c r="F5" s="25"/>
      <c r="G5" s="25"/>
    </row>
    <row r="6" customFormat="false" ht="7.5" hidden="false" customHeight="true" outlineLevel="0" collapsed="false"/>
    <row r="7" customFormat="false" ht="21.75" hidden="false" customHeight="true" outlineLevel="0" collapsed="false">
      <c r="B7" s="30" t="s">
        <v>51</v>
      </c>
      <c r="C7" s="30" t="s">
        <v>52</v>
      </c>
      <c r="D7" s="30" t="s">
        <v>53</v>
      </c>
      <c r="E7" s="30" t="s">
        <v>54</v>
      </c>
      <c r="F7" s="30" t="s">
        <v>55</v>
      </c>
      <c r="G7" s="30" t="s">
        <v>56</v>
      </c>
    </row>
    <row r="8" customFormat="false" ht="19.5" hidden="false" customHeight="true" outlineLevel="0" collapsed="false">
      <c r="B8" s="31" t="s">
        <v>203</v>
      </c>
      <c r="C8" s="31"/>
      <c r="D8" s="31"/>
      <c r="E8" s="31"/>
      <c r="F8" s="31"/>
      <c r="G8" s="31"/>
    </row>
    <row r="9" customFormat="false" ht="36" hidden="false" customHeight="true" outlineLevel="0" collapsed="false">
      <c r="B9" s="32" t="s">
        <v>58</v>
      </c>
      <c r="C9" s="33" t="s">
        <v>204</v>
      </c>
      <c r="D9" s="34" t="s">
        <v>205</v>
      </c>
      <c r="E9" s="35" t="n">
        <f aca="false">'START HERE'!$D$8-365</f>
        <v>-365</v>
      </c>
      <c r="F9" s="36"/>
      <c r="G9" s="37" t="s">
        <v>61</v>
      </c>
    </row>
    <row r="10" customFormat="false" ht="36" hidden="false" customHeight="true" outlineLevel="0" collapsed="false">
      <c r="B10" s="32" t="s">
        <v>58</v>
      </c>
      <c r="C10" s="33" t="s">
        <v>206</v>
      </c>
      <c r="D10" s="34" t="s">
        <v>207</v>
      </c>
      <c r="E10" s="35" t="n">
        <f aca="false">'START HERE'!$D$8-365</f>
        <v>-365</v>
      </c>
      <c r="F10" s="36"/>
      <c r="G10" s="37" t="s">
        <v>61</v>
      </c>
    </row>
    <row r="11" customFormat="false" ht="36" hidden="false" customHeight="true" outlineLevel="0" collapsed="false">
      <c r="B11" s="32" t="s">
        <v>58</v>
      </c>
      <c r="C11" s="33" t="s">
        <v>208</v>
      </c>
      <c r="D11" s="34" t="s">
        <v>209</v>
      </c>
      <c r="E11" s="35" t="n">
        <f aca="false">'START HERE'!$D$8-350</f>
        <v>-350</v>
      </c>
      <c r="F11" s="36"/>
      <c r="G11" s="37" t="s">
        <v>61</v>
      </c>
    </row>
    <row r="12" customFormat="false" ht="36" hidden="false" customHeight="true" outlineLevel="0" collapsed="false">
      <c r="B12" s="32" t="s">
        <v>58</v>
      </c>
      <c r="C12" s="33" t="s">
        <v>59</v>
      </c>
      <c r="D12" s="34" t="s">
        <v>210</v>
      </c>
      <c r="E12" s="35" t="n">
        <f aca="false">'START HERE'!$D$8-340</f>
        <v>-340</v>
      </c>
      <c r="F12" s="36"/>
      <c r="G12" s="37" t="s">
        <v>61</v>
      </c>
    </row>
    <row r="13" customFormat="false" ht="36" hidden="false" customHeight="true" outlineLevel="0" collapsed="false">
      <c r="B13" s="32" t="s">
        <v>58</v>
      </c>
      <c r="C13" s="33" t="s">
        <v>211</v>
      </c>
      <c r="D13" s="34" t="s">
        <v>212</v>
      </c>
      <c r="E13" s="35" t="n">
        <f aca="false">'START HERE'!$D$8-330</f>
        <v>-330</v>
      </c>
      <c r="F13" s="36"/>
      <c r="G13" s="37" t="s">
        <v>61</v>
      </c>
    </row>
    <row r="14" customFormat="false" ht="7.5" hidden="false" customHeight="true" outlineLevel="0" collapsed="false"/>
    <row r="15" customFormat="false" ht="19.5" hidden="false" customHeight="true" outlineLevel="0" collapsed="false">
      <c r="B15" s="31" t="s">
        <v>213</v>
      </c>
      <c r="C15" s="31"/>
      <c r="D15" s="31"/>
      <c r="E15" s="31"/>
      <c r="F15" s="31"/>
      <c r="G15" s="31"/>
    </row>
    <row r="16" customFormat="false" ht="36" hidden="false" customHeight="true" outlineLevel="0" collapsed="false">
      <c r="B16" s="32" t="s">
        <v>58</v>
      </c>
      <c r="C16" s="33" t="s">
        <v>214</v>
      </c>
      <c r="D16" s="34" t="s">
        <v>215</v>
      </c>
      <c r="E16" s="35" t="n">
        <f aca="false">'START HERE'!$D$8-300</f>
        <v>-300</v>
      </c>
      <c r="F16" s="36"/>
      <c r="G16" s="37" t="s">
        <v>61</v>
      </c>
    </row>
    <row r="17" customFormat="false" ht="36" hidden="false" customHeight="true" outlineLevel="0" collapsed="false">
      <c r="B17" s="32" t="s">
        <v>58</v>
      </c>
      <c r="C17" s="33" t="s">
        <v>216</v>
      </c>
      <c r="D17" s="34" t="s">
        <v>217</v>
      </c>
      <c r="E17" s="35" t="n">
        <f aca="false">'START HERE'!$D$8-290</f>
        <v>-290</v>
      </c>
      <c r="F17" s="36"/>
      <c r="G17" s="37" t="s">
        <v>61</v>
      </c>
    </row>
    <row r="18" customFormat="false" ht="36" hidden="false" customHeight="true" outlineLevel="0" collapsed="false">
      <c r="B18" s="32" t="s">
        <v>58</v>
      </c>
      <c r="C18" s="33" t="s">
        <v>75</v>
      </c>
      <c r="D18" s="34" t="s">
        <v>218</v>
      </c>
      <c r="E18" s="35" t="n">
        <f aca="false">'START HERE'!$D$8-280</f>
        <v>-280</v>
      </c>
      <c r="F18" s="36"/>
      <c r="G18" s="37" t="s">
        <v>61</v>
      </c>
    </row>
    <row r="19" customFormat="false" ht="36" hidden="false" customHeight="true" outlineLevel="0" collapsed="false">
      <c r="B19" s="32" t="s">
        <v>58</v>
      </c>
      <c r="C19" s="33" t="s">
        <v>219</v>
      </c>
      <c r="D19" s="34" t="s">
        <v>220</v>
      </c>
      <c r="E19" s="35" t="n">
        <f aca="false">'START HERE'!$D$8-270</f>
        <v>-270</v>
      </c>
      <c r="F19" s="36"/>
      <c r="G19" s="37" t="s">
        <v>61</v>
      </c>
    </row>
    <row r="20" customFormat="false" ht="36" hidden="false" customHeight="true" outlineLevel="0" collapsed="false">
      <c r="B20" s="32" t="s">
        <v>58</v>
      </c>
      <c r="C20" s="33" t="s">
        <v>221</v>
      </c>
      <c r="D20" s="34" t="s">
        <v>222</v>
      </c>
      <c r="E20" s="35" t="n">
        <f aca="false">'START HERE'!$D$8-260</f>
        <v>-260</v>
      </c>
      <c r="F20" s="36"/>
      <c r="G20" s="37" t="s">
        <v>61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31" t="s">
        <v>81</v>
      </c>
      <c r="C22" s="31"/>
      <c r="D22" s="31"/>
      <c r="E22" s="31"/>
      <c r="F22" s="31"/>
      <c r="G22" s="31"/>
    </row>
    <row r="23" customFormat="false" ht="36" hidden="false" customHeight="true" outlineLevel="0" collapsed="false">
      <c r="B23" s="32" t="s">
        <v>58</v>
      </c>
      <c r="C23" s="33" t="s">
        <v>82</v>
      </c>
      <c r="D23" s="34" t="s">
        <v>223</v>
      </c>
      <c r="E23" s="35" t="n">
        <f aca="false">'START HERE'!$D$8-270</f>
        <v>-270</v>
      </c>
      <c r="F23" s="36"/>
      <c r="G23" s="37" t="s">
        <v>61</v>
      </c>
    </row>
    <row r="24" customFormat="false" ht="36" hidden="false" customHeight="true" outlineLevel="0" collapsed="false">
      <c r="B24" s="32" t="s">
        <v>58</v>
      </c>
      <c r="C24" s="33" t="s">
        <v>84</v>
      </c>
      <c r="D24" s="34" t="s">
        <v>224</v>
      </c>
      <c r="E24" s="35" t="n">
        <f aca="false">'START HERE'!$D$8-260</f>
        <v>-260</v>
      </c>
      <c r="F24" s="36"/>
      <c r="G24" s="37" t="s">
        <v>61</v>
      </c>
    </row>
    <row r="25" customFormat="false" ht="36" hidden="false" customHeight="true" outlineLevel="0" collapsed="false">
      <c r="B25" s="32" t="s">
        <v>58</v>
      </c>
      <c r="C25" s="33" t="s">
        <v>225</v>
      </c>
      <c r="D25" s="34" t="s">
        <v>226</v>
      </c>
      <c r="E25" s="35" t="n">
        <f aca="false">'START HERE'!$D$8-250</f>
        <v>-250</v>
      </c>
      <c r="F25" s="36"/>
      <c r="G25" s="37" t="s">
        <v>61</v>
      </c>
    </row>
    <row r="26" customFormat="false" ht="36" hidden="false" customHeight="true" outlineLevel="0" collapsed="false">
      <c r="B26" s="32" t="s">
        <v>58</v>
      </c>
      <c r="C26" s="33" t="s">
        <v>90</v>
      </c>
      <c r="D26" s="34" t="s">
        <v>227</v>
      </c>
      <c r="E26" s="35" t="n">
        <f aca="false">'START HERE'!$D$8-240</f>
        <v>-240</v>
      </c>
      <c r="F26" s="36"/>
      <c r="G26" s="37" t="s">
        <v>61</v>
      </c>
    </row>
    <row r="27" customFormat="false" ht="36" hidden="false" customHeight="true" outlineLevel="0" collapsed="false">
      <c r="B27" s="32" t="s">
        <v>58</v>
      </c>
      <c r="C27" s="33" t="s">
        <v>92</v>
      </c>
      <c r="D27" s="34" t="s">
        <v>228</v>
      </c>
      <c r="E27" s="35" t="n">
        <f aca="false">'START HERE'!$D$8-220</f>
        <v>-220</v>
      </c>
      <c r="F27" s="36"/>
      <c r="G27" s="37" t="s">
        <v>61</v>
      </c>
    </row>
    <row r="28" customFormat="false" ht="36" hidden="false" customHeight="true" outlineLevel="0" collapsed="false">
      <c r="B28" s="32" t="s">
        <v>58</v>
      </c>
      <c r="C28" s="33" t="s">
        <v>229</v>
      </c>
      <c r="D28" s="34" t="s">
        <v>230</v>
      </c>
      <c r="E28" s="35" t="n">
        <f aca="false">'START HERE'!$D$8-210</f>
        <v>-210</v>
      </c>
      <c r="F28" s="36"/>
      <c r="G28" s="37" t="s">
        <v>61</v>
      </c>
    </row>
    <row r="29" customFormat="false" ht="36" hidden="false" customHeight="true" outlineLevel="0" collapsed="false">
      <c r="B29" s="32" t="s">
        <v>58</v>
      </c>
      <c r="C29" s="33" t="s">
        <v>167</v>
      </c>
      <c r="D29" s="34" t="s">
        <v>231</v>
      </c>
      <c r="E29" s="35" t="n">
        <f aca="false">'START HERE'!$D$8-200</f>
        <v>-200</v>
      </c>
      <c r="F29" s="36"/>
      <c r="G29" s="37" t="s">
        <v>61</v>
      </c>
    </row>
    <row r="30" customFormat="false" ht="36" hidden="false" customHeight="true" outlineLevel="0" collapsed="false">
      <c r="B30" s="32" t="s">
        <v>58</v>
      </c>
      <c r="C30" s="33" t="s">
        <v>96</v>
      </c>
      <c r="D30" s="34" t="s">
        <v>232</v>
      </c>
      <c r="E30" s="35" t="n">
        <f aca="false">'START HERE'!$D$8-195</f>
        <v>-195</v>
      </c>
      <c r="F30" s="36"/>
      <c r="G30" s="37" t="s">
        <v>61</v>
      </c>
    </row>
    <row r="31" customFormat="false" ht="36" hidden="false" customHeight="true" outlineLevel="0" collapsed="false">
      <c r="B31" s="32" t="s">
        <v>58</v>
      </c>
      <c r="C31" s="33" t="s">
        <v>233</v>
      </c>
      <c r="D31" s="34" t="s">
        <v>234</v>
      </c>
      <c r="E31" s="35" t="n">
        <f aca="false">'START HERE'!$D$8-180</f>
        <v>-180</v>
      </c>
      <c r="F31" s="36"/>
      <c r="G31" s="37" t="s">
        <v>61</v>
      </c>
    </row>
    <row r="32" customFormat="false" ht="7.5" hidden="false" customHeight="true" outlineLevel="0" collapsed="false"/>
    <row r="33" customFormat="false" ht="19.5" hidden="false" customHeight="true" outlineLevel="0" collapsed="false">
      <c r="B33" s="31" t="s">
        <v>170</v>
      </c>
      <c r="C33" s="31"/>
      <c r="D33" s="31"/>
      <c r="E33" s="31"/>
      <c r="F33" s="31"/>
      <c r="G33" s="31"/>
    </row>
    <row r="34" customFormat="false" ht="36" hidden="false" customHeight="true" outlineLevel="0" collapsed="false">
      <c r="B34" s="32" t="s">
        <v>58</v>
      </c>
      <c r="C34" s="33" t="s">
        <v>171</v>
      </c>
      <c r="D34" s="34" t="s">
        <v>235</v>
      </c>
      <c r="E34" s="35" t="n">
        <f aca="false">'START HERE'!$D$8-180</f>
        <v>-180</v>
      </c>
      <c r="F34" s="36"/>
      <c r="G34" s="37" t="s">
        <v>61</v>
      </c>
    </row>
    <row r="35" customFormat="false" ht="36" hidden="false" customHeight="true" outlineLevel="0" collapsed="false">
      <c r="B35" s="32" t="s">
        <v>58</v>
      </c>
      <c r="C35" s="33" t="s">
        <v>236</v>
      </c>
      <c r="D35" s="34" t="s">
        <v>237</v>
      </c>
      <c r="E35" s="35" t="n">
        <f aca="false">'START HERE'!$D$8-150</f>
        <v>-150</v>
      </c>
      <c r="F35" s="36"/>
      <c r="G35" s="37" t="s">
        <v>61</v>
      </c>
    </row>
    <row r="36" customFormat="false" ht="36" hidden="false" customHeight="true" outlineLevel="0" collapsed="false">
      <c r="B36" s="32" t="s">
        <v>58</v>
      </c>
      <c r="C36" s="33" t="s">
        <v>238</v>
      </c>
      <c r="D36" s="34" t="s">
        <v>239</v>
      </c>
      <c r="E36" s="35" t="n">
        <f aca="false">'START HERE'!$D$8-150</f>
        <v>-150</v>
      </c>
      <c r="F36" s="36"/>
      <c r="G36" s="37" t="s">
        <v>61</v>
      </c>
    </row>
    <row r="37" customFormat="false" ht="36" hidden="false" customHeight="true" outlineLevel="0" collapsed="false">
      <c r="B37" s="32" t="s">
        <v>58</v>
      </c>
      <c r="C37" s="33" t="s">
        <v>240</v>
      </c>
      <c r="D37" s="34" t="s">
        <v>241</v>
      </c>
      <c r="E37" s="35" t="n">
        <f aca="false">'START HERE'!$D$8-30</f>
        <v>-30</v>
      </c>
      <c r="F37" s="36"/>
      <c r="G37" s="37" t="s">
        <v>61</v>
      </c>
    </row>
    <row r="38" customFormat="false" ht="7.5" hidden="false" customHeight="true" outlineLevel="0" collapsed="false"/>
    <row r="39" customFormat="false" ht="19.5" hidden="false" customHeight="true" outlineLevel="0" collapsed="false">
      <c r="B39" s="31" t="s">
        <v>181</v>
      </c>
      <c r="C39" s="31"/>
      <c r="D39" s="31"/>
      <c r="E39" s="31"/>
      <c r="F39" s="31"/>
      <c r="G39" s="31"/>
    </row>
    <row r="40" customFormat="false" ht="36" hidden="false" customHeight="true" outlineLevel="0" collapsed="false">
      <c r="B40" s="32" t="s">
        <v>58</v>
      </c>
      <c r="C40" s="33" t="s">
        <v>182</v>
      </c>
      <c r="D40" s="34" t="s">
        <v>242</v>
      </c>
      <c r="E40" s="35" t="n">
        <f aca="false">'START HERE'!$D$8-60</f>
        <v>-60</v>
      </c>
      <c r="F40" s="36"/>
      <c r="G40" s="37" t="s">
        <v>61</v>
      </c>
    </row>
    <row r="41" customFormat="false" ht="36" hidden="false" customHeight="true" outlineLevel="0" collapsed="false">
      <c r="B41" s="32" t="s">
        <v>58</v>
      </c>
      <c r="C41" s="33" t="s">
        <v>243</v>
      </c>
      <c r="D41" s="34" t="s">
        <v>244</v>
      </c>
      <c r="E41" s="35" t="n">
        <f aca="false">'START HERE'!$D$8-45</f>
        <v>-45</v>
      </c>
      <c r="F41" s="36"/>
      <c r="G41" s="37" t="s">
        <v>61</v>
      </c>
    </row>
    <row r="42" customFormat="false" ht="36" hidden="false" customHeight="true" outlineLevel="0" collapsed="false">
      <c r="B42" s="32" t="s">
        <v>58</v>
      </c>
      <c r="C42" s="33" t="s">
        <v>120</v>
      </c>
      <c r="D42" s="34" t="s">
        <v>245</v>
      </c>
      <c r="E42" s="35" t="n">
        <f aca="false">'START HERE'!$D$8-30</f>
        <v>-30</v>
      </c>
      <c r="F42" s="36"/>
      <c r="G42" s="37" t="s">
        <v>61</v>
      </c>
    </row>
    <row r="43" customFormat="false" ht="36" hidden="false" customHeight="true" outlineLevel="0" collapsed="false">
      <c r="B43" s="32" t="s">
        <v>58</v>
      </c>
      <c r="C43" s="33" t="s">
        <v>122</v>
      </c>
      <c r="D43" s="34" t="s">
        <v>246</v>
      </c>
      <c r="E43" s="35" t="n">
        <f aca="false">'START HERE'!$D$8-30</f>
        <v>-30</v>
      </c>
      <c r="F43" s="36"/>
      <c r="G43" s="37" t="s">
        <v>61</v>
      </c>
    </row>
    <row r="44" customFormat="false" ht="36" hidden="false" customHeight="true" outlineLevel="0" collapsed="false">
      <c r="B44" s="32" t="s">
        <v>58</v>
      </c>
      <c r="C44" s="33" t="s">
        <v>124</v>
      </c>
      <c r="D44" s="34" t="s">
        <v>247</v>
      </c>
      <c r="E44" s="35" t="n">
        <f aca="false">'START HERE'!$D$8-21</f>
        <v>-21</v>
      </c>
      <c r="F44" s="36"/>
      <c r="G44" s="37" t="s">
        <v>61</v>
      </c>
    </row>
    <row r="45" customFormat="false" ht="36" hidden="false" customHeight="true" outlineLevel="0" collapsed="false">
      <c r="B45" s="32" t="s">
        <v>58</v>
      </c>
      <c r="C45" s="33" t="s">
        <v>187</v>
      </c>
      <c r="D45" s="34" t="s">
        <v>248</v>
      </c>
      <c r="E45" s="35" t="n">
        <f aca="false">'START HERE'!$D$8-7</f>
        <v>-7</v>
      </c>
      <c r="F45" s="36"/>
      <c r="G45" s="37" t="s">
        <v>61</v>
      </c>
    </row>
    <row r="46" customFormat="false" ht="7.5" hidden="false" customHeight="true" outlineLevel="0" collapsed="false"/>
    <row r="47" customFormat="false" ht="19.5" hidden="false" customHeight="true" outlineLevel="0" collapsed="false">
      <c r="B47" s="31" t="s">
        <v>126</v>
      </c>
      <c r="C47" s="31"/>
      <c r="D47" s="31"/>
      <c r="E47" s="31"/>
      <c r="F47" s="31"/>
      <c r="G47" s="31"/>
    </row>
    <row r="48" customFormat="false" ht="36" hidden="false" customHeight="true" outlineLevel="0" collapsed="false">
      <c r="B48" s="32" t="s">
        <v>58</v>
      </c>
      <c r="C48" s="33" t="s">
        <v>189</v>
      </c>
      <c r="D48" s="34" t="s">
        <v>249</v>
      </c>
      <c r="E48" s="35" t="n">
        <f aca="false">'START HERE'!$D$8+0</f>
        <v>0</v>
      </c>
      <c r="F48" s="36"/>
      <c r="G48" s="37" t="s">
        <v>61</v>
      </c>
    </row>
    <row r="49" customFormat="false" ht="36" hidden="false" customHeight="true" outlineLevel="0" collapsed="false">
      <c r="B49" s="32" t="s">
        <v>58</v>
      </c>
      <c r="C49" s="33" t="s">
        <v>109</v>
      </c>
      <c r="D49" s="34" t="s">
        <v>191</v>
      </c>
      <c r="E49" s="35" t="n">
        <f aca="false">'START HERE'!$D$8+7</f>
        <v>7</v>
      </c>
      <c r="F49" s="36"/>
      <c r="G49" s="37" t="s">
        <v>61</v>
      </c>
    </row>
    <row r="50" customFormat="false" ht="36" hidden="false" customHeight="true" outlineLevel="0" collapsed="false">
      <c r="B50" s="32" t="s">
        <v>58</v>
      </c>
      <c r="C50" s="33" t="s">
        <v>250</v>
      </c>
      <c r="D50" s="34" t="s">
        <v>251</v>
      </c>
      <c r="E50" s="35" t="n">
        <f aca="false">'START HERE'!$D$8+1</f>
        <v>1</v>
      </c>
      <c r="F50" s="36"/>
      <c r="G50" s="37" t="s">
        <v>61</v>
      </c>
    </row>
    <row r="51" customFormat="false" ht="36" hidden="false" customHeight="true" outlineLevel="0" collapsed="false">
      <c r="B51" s="32" t="s">
        <v>58</v>
      </c>
      <c r="C51" s="33" t="s">
        <v>112</v>
      </c>
      <c r="D51" s="34" t="s">
        <v>252</v>
      </c>
      <c r="E51" s="35" t="n">
        <f aca="false">'START HERE'!$D$8+5</f>
        <v>5</v>
      </c>
      <c r="F51" s="36"/>
      <c r="G51" s="37" t="s">
        <v>61</v>
      </c>
    </row>
    <row r="52" customFormat="false" ht="36" hidden="false" customHeight="true" outlineLevel="0" collapsed="false">
      <c r="B52" s="32" t="s">
        <v>58</v>
      </c>
      <c r="C52" s="33" t="s">
        <v>253</v>
      </c>
      <c r="D52" s="34" t="s">
        <v>254</v>
      </c>
      <c r="E52" s="35" t="n">
        <f aca="false">'START HERE'!$D$8+14</f>
        <v>14</v>
      </c>
      <c r="F52" s="36"/>
      <c r="G52" s="37" t="s">
        <v>61</v>
      </c>
    </row>
    <row r="53" customFormat="false" ht="36" hidden="false" customHeight="true" outlineLevel="0" collapsed="false">
      <c r="B53" s="32" t="s">
        <v>58</v>
      </c>
      <c r="C53" s="33" t="s">
        <v>139</v>
      </c>
      <c r="D53" s="34" t="s">
        <v>255</v>
      </c>
      <c r="E53" s="35" t="n">
        <f aca="false">'START HERE'!$D$8+30</f>
        <v>30</v>
      </c>
      <c r="F53" s="36"/>
      <c r="G53" s="37" t="s">
        <v>61</v>
      </c>
    </row>
    <row r="54" customFormat="false" ht="36" hidden="false" customHeight="true" outlineLevel="0" collapsed="false">
      <c r="B54" s="32" t="s">
        <v>58</v>
      </c>
      <c r="C54" s="33" t="s">
        <v>256</v>
      </c>
      <c r="D54" s="34" t="s">
        <v>257</v>
      </c>
      <c r="E54" s="35" t="n">
        <f aca="false">'START HERE'!$D$8+305</f>
        <v>305</v>
      </c>
      <c r="F54" s="36"/>
      <c r="G54" s="37" t="s">
        <v>61</v>
      </c>
    </row>
    <row r="55" customFormat="false" ht="36" hidden="false" customHeight="true" outlineLevel="0" collapsed="false">
      <c r="B55" s="32" t="s">
        <v>58</v>
      </c>
      <c r="C55" s="33" t="s">
        <v>258</v>
      </c>
      <c r="D55" s="34" t="s">
        <v>259</v>
      </c>
      <c r="E55" s="35" t="n">
        <f aca="false">'START HERE'!$D$8+30</f>
        <v>30</v>
      </c>
      <c r="F55" s="36"/>
      <c r="G55" s="37" t="s">
        <v>61</v>
      </c>
    </row>
    <row r="56" customFormat="false" ht="36" hidden="false" customHeight="true" outlineLevel="0" collapsed="false">
      <c r="B56" s="32" t="s">
        <v>58</v>
      </c>
      <c r="C56" s="33" t="s">
        <v>141</v>
      </c>
      <c r="D56" s="34" t="s">
        <v>260</v>
      </c>
      <c r="E56" s="35" t="n">
        <f aca="false">'START HERE'!$D$8+270</f>
        <v>270</v>
      </c>
      <c r="F56" s="36"/>
      <c r="G56" s="37" t="s">
        <v>61</v>
      </c>
    </row>
    <row r="57" customFormat="false" ht="36" hidden="false" customHeight="true" outlineLevel="0" collapsed="false">
      <c r="B57" s="32" t="s">
        <v>58</v>
      </c>
      <c r="C57" s="33" t="s">
        <v>143</v>
      </c>
      <c r="D57" s="34" t="s">
        <v>261</v>
      </c>
      <c r="E57" s="35" t="n">
        <f aca="false">'START HERE'!$D$8+285</f>
        <v>285</v>
      </c>
      <c r="F57" s="36"/>
      <c r="G57" s="37" t="s">
        <v>61</v>
      </c>
    </row>
    <row r="58" customFormat="false" ht="7.5" hidden="false" customHeight="true" outlineLevel="0" collapsed="false"/>
    <row r="59" customFormat="false" ht="18" hidden="false" customHeight="true" outlineLevel="0" collapsed="false">
      <c r="B59" s="17" t="s">
        <v>147</v>
      </c>
      <c r="C59" s="17"/>
      <c r="D59" s="17"/>
      <c r="E59" s="17"/>
      <c r="F59" s="17"/>
      <c r="G59" s="17"/>
    </row>
    <row r="60" customFormat="false" ht="24" hidden="false" customHeight="true" outlineLevel="0" collapsed="false">
      <c r="B60" s="38"/>
      <c r="C60" s="38"/>
      <c r="D60" s="38"/>
      <c r="E60" s="38"/>
      <c r="F60" s="39"/>
      <c r="G60" s="38"/>
    </row>
    <row r="61" customFormat="false" ht="24" hidden="false" customHeight="true" outlineLevel="0" collapsed="false">
      <c r="B61" s="38"/>
      <c r="C61" s="38"/>
      <c r="D61" s="38"/>
      <c r="E61" s="38"/>
      <c r="F61" s="39"/>
      <c r="G61" s="38"/>
    </row>
    <row r="62" customFormat="false" ht="24" hidden="false" customHeight="true" outlineLevel="0" collapsed="false">
      <c r="B62" s="38"/>
      <c r="C62" s="38"/>
      <c r="D62" s="38"/>
      <c r="E62" s="38"/>
      <c r="F62" s="39"/>
      <c r="G62" s="38"/>
    </row>
    <row r="63" customFormat="false" ht="24" hidden="false" customHeight="true" outlineLevel="0" collapsed="false">
      <c r="B63" s="38"/>
      <c r="C63" s="38"/>
      <c r="D63" s="38"/>
      <c r="E63" s="38"/>
      <c r="F63" s="39"/>
      <c r="G63" s="38"/>
    </row>
    <row r="64" customFormat="false" ht="24" hidden="false" customHeight="true" outlineLevel="0" collapsed="false">
      <c r="B64" s="38"/>
      <c r="C64" s="38"/>
      <c r="D64" s="38"/>
      <c r="E64" s="38"/>
      <c r="F64" s="39"/>
      <c r="G64" s="38"/>
    </row>
    <row r="65" customFormat="false" ht="24" hidden="false" customHeight="true" outlineLevel="0" collapsed="false">
      <c r="B65" s="38"/>
      <c r="C65" s="38"/>
      <c r="D65" s="38"/>
      <c r="E65" s="38"/>
      <c r="F65" s="39"/>
      <c r="G65" s="38"/>
    </row>
    <row r="66" customFormat="false" ht="24" hidden="false" customHeight="true" outlineLevel="0" collapsed="false">
      <c r="B66" s="38"/>
      <c r="C66" s="38"/>
      <c r="D66" s="38"/>
      <c r="E66" s="38"/>
      <c r="F66" s="39"/>
      <c r="G66" s="38"/>
    </row>
    <row r="67" customFormat="false" ht="24" hidden="false" customHeight="true" outlineLevel="0" collapsed="false">
      <c r="B67" s="38"/>
      <c r="C67" s="38"/>
      <c r="D67" s="38"/>
      <c r="E67" s="38"/>
      <c r="F67" s="39"/>
      <c r="G67" s="38"/>
    </row>
    <row r="68" customFormat="false" ht="7.5" hidden="false" customHeight="true" outlineLevel="0" collapsed="false"/>
    <row r="69" customFormat="false" ht="15" hidden="false" customHeight="false" outlineLevel="0" collapsed="false">
      <c r="B69" s="25" t="s">
        <v>148</v>
      </c>
      <c r="C69" s="25"/>
      <c r="D69" s="25"/>
      <c r="E69" s="25"/>
      <c r="F69" s="25"/>
      <c r="G69" s="25"/>
    </row>
  </sheetData>
  <mergeCells count="13">
    <mergeCell ref="B1:G1"/>
    <mergeCell ref="B2:G2"/>
    <mergeCell ref="B3:G3"/>
    <mergeCell ref="B5:C5"/>
    <mergeCell ref="E5:G5"/>
    <mergeCell ref="B8:G8"/>
    <mergeCell ref="B15:G15"/>
    <mergeCell ref="B22:G22"/>
    <mergeCell ref="B33:G33"/>
    <mergeCell ref="B39:G39"/>
    <mergeCell ref="B47:G47"/>
    <mergeCell ref="B59:G59"/>
    <mergeCell ref="B69:G69"/>
  </mergeCells>
  <dataValidations count="1">
    <dataValidation allowBlank="true" errorStyle="stop" operator="between" showDropDown="false" showErrorMessage="false" showInputMessage="false" sqref="G9:G13 G16:G20 G23:G31 G34:G37 G40:G45 G48:G57" type="list">
      <formula1>"Done,In Progress,Not Started,Skipped"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C1C"/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8"/>
    <col collapsed="false" customWidth="true" hidden="false" outlineLevel="0" max="7" min="7" style="0" width="14"/>
    <col collapsed="false" customWidth="true" hidden="false" outlineLevel="0" max="8" min="8" style="0" width="2"/>
  </cols>
  <sheetData>
    <row r="1" customFormat="false" ht="15.75" hidden="false" customHeight="true" outlineLevel="0" collapsed="false">
      <c r="B1" s="1" t="s">
        <v>262</v>
      </c>
      <c r="C1" s="1"/>
      <c r="D1" s="1"/>
      <c r="E1" s="1"/>
      <c r="F1" s="1"/>
      <c r="G1" s="1"/>
    </row>
    <row r="2" customFormat="false" ht="25.5" hidden="false" customHeight="true" outlineLevel="0" collapsed="false">
      <c r="B2" s="26" t="s">
        <v>263</v>
      </c>
      <c r="C2" s="26"/>
      <c r="D2" s="26"/>
      <c r="E2" s="26"/>
      <c r="F2" s="26"/>
      <c r="G2" s="26"/>
    </row>
    <row r="3" customFormat="false" ht="24" hidden="false" customHeight="true" outlineLevel="0" collapsed="false">
      <c r="B3" s="40" t="s">
        <v>264</v>
      </c>
      <c r="C3" s="40"/>
      <c r="D3" s="40"/>
      <c r="E3" s="40"/>
      <c r="F3" s="40"/>
      <c r="G3" s="40"/>
    </row>
    <row r="4" customFormat="false" ht="9.75" hidden="false" customHeight="true" outlineLevel="0" collapsed="false"/>
    <row r="5" customFormat="false" ht="19.5" hidden="false" customHeight="true" outlineLevel="0" collapsed="false">
      <c r="B5" s="13" t="s">
        <v>265</v>
      </c>
      <c r="C5" s="13"/>
      <c r="D5" s="13"/>
      <c r="E5" s="13"/>
      <c r="F5" s="13"/>
      <c r="G5" s="13"/>
    </row>
    <row r="6" customFormat="false" ht="19.5" hidden="false" customHeight="true" outlineLevel="0" collapsed="false">
      <c r="B6" s="41" t="s">
        <v>266</v>
      </c>
      <c r="C6" s="42" t="s">
        <v>267</v>
      </c>
      <c r="D6" s="42"/>
      <c r="E6" s="42"/>
      <c r="F6" s="42"/>
      <c r="G6" s="42"/>
    </row>
    <row r="7" customFormat="false" ht="19.5" hidden="false" customHeight="true" outlineLevel="0" collapsed="false">
      <c r="B7" s="41" t="s">
        <v>268</v>
      </c>
      <c r="C7" s="42" t="s">
        <v>269</v>
      </c>
      <c r="D7" s="42"/>
      <c r="E7" s="42"/>
      <c r="F7" s="42"/>
      <c r="G7" s="42"/>
    </row>
    <row r="8" customFormat="false" ht="19.5" hidden="false" customHeight="true" outlineLevel="0" collapsed="false">
      <c r="B8" s="41" t="s">
        <v>270</v>
      </c>
      <c r="C8" s="42" t="s">
        <v>271</v>
      </c>
      <c r="D8" s="42"/>
      <c r="E8" s="42"/>
      <c r="F8" s="42"/>
      <c r="G8" s="42"/>
    </row>
    <row r="9" customFormat="false" ht="19.5" hidden="false" customHeight="true" outlineLevel="0" collapsed="false">
      <c r="B9" s="41" t="s">
        <v>272</v>
      </c>
      <c r="C9" s="42" t="s">
        <v>273</v>
      </c>
      <c r="D9" s="42"/>
      <c r="E9" s="42"/>
      <c r="F9" s="42"/>
      <c r="G9" s="42"/>
    </row>
    <row r="10" customFormat="false" ht="9.75" hidden="false" customHeight="true" outlineLevel="0" collapsed="false"/>
    <row r="11" customFormat="false" ht="19.5" hidden="false" customHeight="true" outlineLevel="0" collapsed="false">
      <c r="B11" s="4" t="s">
        <v>274</v>
      </c>
      <c r="C11" s="4"/>
      <c r="D11" s="4"/>
      <c r="E11" s="4"/>
      <c r="F11" s="4"/>
      <c r="G11" s="4"/>
    </row>
    <row r="12" customFormat="false" ht="19.5" hidden="false" customHeight="true" outlineLevel="0" collapsed="false">
      <c r="B12" s="30" t="s">
        <v>275</v>
      </c>
      <c r="C12" s="30" t="s">
        <v>276</v>
      </c>
      <c r="D12" s="30" t="s">
        <v>277</v>
      </c>
      <c r="E12" s="30" t="s">
        <v>278</v>
      </c>
      <c r="F12" s="30" t="s">
        <v>279</v>
      </c>
    </row>
    <row r="13" customFormat="false" ht="24" hidden="false" customHeight="true" outlineLevel="0" collapsed="false">
      <c r="B13" s="43" t="s">
        <v>280</v>
      </c>
      <c r="C13" s="44"/>
      <c r="D13" s="45" t="str">
        <f aca="false">IF(C13="","",365-C13)</f>
        <v/>
      </c>
      <c r="E13" s="46" t="str">
        <f aca="false">IF(C13="","",IF(C13&gt;=183,"YES ✔","NO ✖ — Short by "&amp;(183-C13)&amp;" days"))</f>
        <v/>
      </c>
      <c r="F13" s="47"/>
    </row>
    <row r="14" customFormat="false" ht="24" hidden="false" customHeight="true" outlineLevel="0" collapsed="false">
      <c r="B14" s="43" t="s">
        <v>281</v>
      </c>
      <c r="C14" s="44"/>
      <c r="D14" s="45" t="str">
        <f aca="false">IF(C14="","",365-C14)</f>
        <v/>
      </c>
      <c r="E14" s="46" t="str">
        <f aca="false">IF(C14="","",IF(C14&gt;=183,"YES ✔","NO ✖ — Short by "&amp;(183-C14)&amp;" days"))</f>
        <v/>
      </c>
      <c r="F14" s="47"/>
    </row>
    <row r="15" customFormat="false" ht="24" hidden="false" customHeight="true" outlineLevel="0" collapsed="false">
      <c r="B15" s="43" t="s">
        <v>282</v>
      </c>
      <c r="C15" s="44"/>
      <c r="D15" s="45" t="str">
        <f aca="false">IF(C15="","",365-C15)</f>
        <v/>
      </c>
      <c r="E15" s="46" t="str">
        <f aca="false">IF(C15="","",IF(C15&gt;=183,"YES ✔","NO ✖ — Short by "&amp;(183-C15)&amp;" days"))</f>
        <v/>
      </c>
      <c r="F15" s="47"/>
    </row>
    <row r="16" customFormat="false" ht="24" hidden="false" customHeight="true" outlineLevel="0" collapsed="false">
      <c r="B16" s="43" t="s">
        <v>283</v>
      </c>
      <c r="C16" s="44"/>
      <c r="D16" s="45" t="str">
        <f aca="false">IF(C16="","",365-C16)</f>
        <v/>
      </c>
      <c r="E16" s="46" t="str">
        <f aca="false">IF(C16="","",IF(C16&gt;=183,"YES ✔","NO ✖ — Short by "&amp;(183-C16)&amp;" days"))</f>
        <v/>
      </c>
      <c r="F16" s="47"/>
    </row>
    <row r="17" customFormat="false" ht="24" hidden="false" customHeight="true" outlineLevel="0" collapsed="false">
      <c r="B17" s="43" t="s">
        <v>284</v>
      </c>
      <c r="C17" s="44"/>
      <c r="D17" s="45" t="str">
        <f aca="false">IF(C17="","",365-C17)</f>
        <v/>
      </c>
      <c r="E17" s="46" t="str">
        <f aca="false">IF(C17="","",IF(C17&gt;=183,"YES ✔","NO ✖ — Short by "&amp;(183-C17)&amp;" days"))</f>
        <v/>
      </c>
      <c r="F17" s="47"/>
    </row>
    <row r="18" customFormat="false" ht="24" hidden="false" customHeight="true" outlineLevel="0" collapsed="false">
      <c r="B18" s="48" t="s">
        <v>285</v>
      </c>
      <c r="C18" s="49" t="n">
        <f aca="false">SUM(C13:C17)</f>
        <v>0</v>
      </c>
      <c r="D18" s="49" t="n">
        <f aca="false">SUM(D13:D17)</f>
        <v>0</v>
      </c>
      <c r="E18" s="50" t="str">
        <f aca="false">IF(C18="","",IF(C18&gt;=915,"On track for permanent residency ✔","Not yet on track — "&amp;(915-C18)&amp;" more days needed"))</f>
        <v>Not yet on track — 915 more days needed</v>
      </c>
    </row>
    <row r="19" customFormat="false" ht="9.75" hidden="false" customHeight="true" outlineLevel="0" collapsed="false"/>
    <row r="20" customFormat="false" ht="15" hidden="false" customHeight="false" outlineLevel="0" collapsed="false">
      <c r="B20" s="25" t="s">
        <v>286</v>
      </c>
      <c r="C20" s="25"/>
      <c r="D20" s="25"/>
      <c r="E20" s="25"/>
      <c r="F20" s="25"/>
      <c r="G20" s="25"/>
    </row>
  </sheetData>
  <mergeCells count="10">
    <mergeCell ref="B1:G1"/>
    <mergeCell ref="B2:G2"/>
    <mergeCell ref="B3:G3"/>
    <mergeCell ref="B5:G5"/>
    <mergeCell ref="C6:G6"/>
    <mergeCell ref="C7:G7"/>
    <mergeCell ref="C8:G8"/>
    <mergeCell ref="C9:G9"/>
    <mergeCell ref="B11:G11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2026-07-16T20:04:44Z</dcterms:created>
  <dc:creator>openpyxl</dc:creator>
  <dc:description/>
  <dc:language>en-US</dc:language>
  <cp:lastModifiedBy/>
  <dcterms:modified xsi:type="dcterms:W3CDTF">2026-07-16T20:04:44Z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